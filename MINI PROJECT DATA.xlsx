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A" sheetId="1" r:id="rId4"/>
    <sheet state="visible" name="DATASET EDIT" sheetId="2" r:id="rId5"/>
    <sheet state="visible" name="Pivot Table 1" sheetId="3" r:id="rId6"/>
    <sheet state="visible" name="DASHBOARD" sheetId="4" r:id="rId7"/>
    <sheet state="visible" name="KODE BANDARA" sheetId="5" r:id="rId8"/>
    <sheet state="visible" name="KODE PESAWAT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<sst xmlns="http://schemas.openxmlformats.org/spreadsheetml/2006/main" count="5668" uniqueCount="1277">
  <si>
    <t xml:space="preserve">BOOKING NUMBER </t>
  </si>
  <si>
    <t>DEPARTURE DATE</t>
  </si>
  <si>
    <t xml:space="preserve">ROUTE </t>
  </si>
  <si>
    <t>CLASIFICATION</t>
  </si>
  <si>
    <t>AIRLINE</t>
  </si>
  <si>
    <t>INTIAL FARE</t>
  </si>
  <si>
    <t>ACTUAL FARE</t>
  </si>
  <si>
    <t>CATEGORY</t>
  </si>
  <si>
    <t>RESOLUTION TYPE</t>
  </si>
  <si>
    <t>1394729381</t>
  </si>
  <si>
    <t>TPE-MEL</t>
  </si>
  <si>
    <t>International</t>
  </si>
  <si>
    <t>AK</t>
  </si>
  <si>
    <t>1360743921</t>
  </si>
  <si>
    <t>DMK-CNX</t>
  </si>
  <si>
    <t>Domestic</t>
  </si>
  <si>
    <t>DD</t>
  </si>
  <si>
    <t>1324193207</t>
  </si>
  <si>
    <t>SIN-CGK</t>
  </si>
  <si>
    <t>JT</t>
  </si>
  <si>
    <t>1343650044</t>
  </si>
  <si>
    <t>TR</t>
  </si>
  <si>
    <t>1329726387</t>
  </si>
  <si>
    <t>CGK-DPS</t>
  </si>
  <si>
    <t>1385334759</t>
  </si>
  <si>
    <t>SGN-HAN</t>
  </si>
  <si>
    <t>VZ</t>
  </si>
  <si>
    <t>1351860028</t>
  </si>
  <si>
    <t>1324359029</t>
  </si>
  <si>
    <t>1382513538</t>
  </si>
  <si>
    <t>SUB-SOQ</t>
  </si>
  <si>
    <t>QG</t>
  </si>
  <si>
    <t>1321455662</t>
  </si>
  <si>
    <t>GA</t>
  </si>
  <si>
    <t>1317152879</t>
  </si>
  <si>
    <t>ID</t>
  </si>
  <si>
    <t>1397026610</t>
  </si>
  <si>
    <t>OD</t>
  </si>
  <si>
    <t>1338081361</t>
  </si>
  <si>
    <t>1358698944</t>
  </si>
  <si>
    <t>1300891981</t>
  </si>
  <si>
    <t>1326337048</t>
  </si>
  <si>
    <t>VN</t>
  </si>
  <si>
    <t>1388632447</t>
  </si>
  <si>
    <t>1333169058</t>
  </si>
  <si>
    <t>1307339235</t>
  </si>
  <si>
    <t>1347312510</t>
  </si>
  <si>
    <t>1392305195</t>
  </si>
  <si>
    <t>1320028258</t>
  </si>
  <si>
    <t>D7</t>
  </si>
  <si>
    <t>1342088030</t>
  </si>
  <si>
    <t>1335356427</t>
  </si>
  <si>
    <t>1382489328</t>
  </si>
  <si>
    <t>1353069083</t>
  </si>
  <si>
    <t>1316492337</t>
  </si>
  <si>
    <t>1303599888</t>
  </si>
  <si>
    <t>1339711290</t>
  </si>
  <si>
    <t>1393081873</t>
  </si>
  <si>
    <t>1390857469</t>
  </si>
  <si>
    <t>1399954014</t>
  </si>
  <si>
    <t>1379962255</t>
  </si>
  <si>
    <t>VU</t>
  </si>
  <si>
    <t>1315711293</t>
  </si>
  <si>
    <t>SL</t>
  </si>
  <si>
    <t>1355821724</t>
  </si>
  <si>
    <t>1383009548</t>
  </si>
  <si>
    <t>1370860908</t>
  </si>
  <si>
    <t>1379046614</t>
  </si>
  <si>
    <t>1304190362</t>
  </si>
  <si>
    <t>1353288185</t>
  </si>
  <si>
    <t>1360187784</t>
  </si>
  <si>
    <t>1361366264</t>
  </si>
  <si>
    <t>1363940235</t>
  </si>
  <si>
    <t>1304338427</t>
  </si>
  <si>
    <t>1390097408</t>
  </si>
  <si>
    <t>1330257995</t>
  </si>
  <si>
    <t>1347195496</t>
  </si>
  <si>
    <t>1336782057</t>
  </si>
  <si>
    <t>VA</t>
  </si>
  <si>
    <t>1374709064</t>
  </si>
  <si>
    <t>1315761736</t>
  </si>
  <si>
    <t>1319681872</t>
  </si>
  <si>
    <t>1347655573</t>
  </si>
  <si>
    <t>1338796524</t>
  </si>
  <si>
    <t>1312233010</t>
  </si>
  <si>
    <t>1310498920</t>
  </si>
  <si>
    <t>1367254245</t>
  </si>
  <si>
    <t>1350941591</t>
  </si>
  <si>
    <t>1326300593</t>
  </si>
  <si>
    <t>1363006822</t>
  </si>
  <si>
    <t>1366174708</t>
  </si>
  <si>
    <t>1335785870</t>
  </si>
  <si>
    <t>1321592819</t>
  </si>
  <si>
    <t>1374206227</t>
  </si>
  <si>
    <t>1396365288</t>
  </si>
  <si>
    <t>1316909702</t>
  </si>
  <si>
    <t>1384832786</t>
  </si>
  <si>
    <t>1382196745</t>
  </si>
  <si>
    <t>1361731557</t>
  </si>
  <si>
    <t>1324386715</t>
  </si>
  <si>
    <t>5J</t>
  </si>
  <si>
    <t>1352453448</t>
  </si>
  <si>
    <t>1339131655</t>
  </si>
  <si>
    <t>1336207881</t>
  </si>
  <si>
    <t>1399206967</t>
  </si>
  <si>
    <t>1392059356</t>
  </si>
  <si>
    <t>1350543497</t>
  </si>
  <si>
    <t>1360194011</t>
  </si>
  <si>
    <t>1340531240</t>
  </si>
  <si>
    <t>1328862651</t>
  </si>
  <si>
    <t>1370997187</t>
  </si>
  <si>
    <t>1349869029</t>
  </si>
  <si>
    <t>KT</t>
  </si>
  <si>
    <t>1371133540</t>
  </si>
  <si>
    <t>1343646633</t>
  </si>
  <si>
    <t>1320734366</t>
  </si>
  <si>
    <t>VJ</t>
  </si>
  <si>
    <t>1348133293</t>
  </si>
  <si>
    <t>1341408328</t>
  </si>
  <si>
    <t>1345861014</t>
  </si>
  <si>
    <t>1328304715</t>
  </si>
  <si>
    <t>1330792242</t>
  </si>
  <si>
    <t>1352963696</t>
  </si>
  <si>
    <t>1343128800</t>
  </si>
  <si>
    <t>1310136969</t>
  </si>
  <si>
    <t>1357084242</t>
  </si>
  <si>
    <t>1359091055</t>
  </si>
  <si>
    <t>1386745463</t>
  </si>
  <si>
    <t>1369584459</t>
  </si>
  <si>
    <t>1319767925</t>
  </si>
  <si>
    <t>1391296566</t>
  </si>
  <si>
    <t>1371676881</t>
  </si>
  <si>
    <t>1335186950</t>
  </si>
  <si>
    <t>1306722794</t>
  </si>
  <si>
    <t>1368598998</t>
  </si>
  <si>
    <t>1309113296</t>
  </si>
  <si>
    <t>QZ</t>
  </si>
  <si>
    <t>1360722701</t>
  </si>
  <si>
    <t>1333380032</t>
  </si>
  <si>
    <t>1369443278</t>
  </si>
  <si>
    <t>1369812327</t>
  </si>
  <si>
    <t>1378081551</t>
  </si>
  <si>
    <t>1343288889</t>
  </si>
  <si>
    <t>1384848484</t>
  </si>
  <si>
    <t>1317264844</t>
  </si>
  <si>
    <t>1328072009</t>
  </si>
  <si>
    <t>1302737181</t>
  </si>
  <si>
    <t>1325803602</t>
  </si>
  <si>
    <t>1311143302</t>
  </si>
  <si>
    <t>1393982256</t>
  </si>
  <si>
    <t>1334582796</t>
  </si>
  <si>
    <t>1327943891</t>
  </si>
  <si>
    <t>1363542910</t>
  </si>
  <si>
    <t>1328047051</t>
  </si>
  <si>
    <t>1346316297</t>
  </si>
  <si>
    <t>1382185201</t>
  </si>
  <si>
    <t>1373201798</t>
  </si>
  <si>
    <t>1391929561</t>
  </si>
  <si>
    <t>1307863104</t>
  </si>
  <si>
    <t>1321263158</t>
  </si>
  <si>
    <t>1346187102</t>
  </si>
  <si>
    <t>IW</t>
  </si>
  <si>
    <t>1328909128</t>
  </si>
  <si>
    <t>1325746924</t>
  </si>
  <si>
    <t>1309018651</t>
  </si>
  <si>
    <t>1335459711</t>
  </si>
  <si>
    <t>1347673057</t>
  </si>
  <si>
    <t>1341974413</t>
  </si>
  <si>
    <t>1311790580</t>
  </si>
  <si>
    <t>1396281167</t>
  </si>
  <si>
    <t>1325442553</t>
  </si>
  <si>
    <t>1358364357</t>
  </si>
  <si>
    <t>1379421338</t>
  </si>
  <si>
    <t>1359601985</t>
  </si>
  <si>
    <t>1331619887</t>
  </si>
  <si>
    <t>1350032903</t>
  </si>
  <si>
    <t>1327150084</t>
  </si>
  <si>
    <t>1371371488</t>
  </si>
  <si>
    <t>1332226004</t>
  </si>
  <si>
    <t>1385359678</t>
  </si>
  <si>
    <t>1389063345</t>
  </si>
  <si>
    <t>1332134970</t>
  </si>
  <si>
    <t>1360104759</t>
  </si>
  <si>
    <t>1313997893</t>
  </si>
  <si>
    <t>1308792026</t>
  </si>
  <si>
    <t>1398334839</t>
  </si>
  <si>
    <t>1326201971</t>
  </si>
  <si>
    <t>1319354851</t>
  </si>
  <si>
    <t>1343788476</t>
  </si>
  <si>
    <t>1374408117</t>
  </si>
  <si>
    <t>1303184623</t>
  </si>
  <si>
    <t>1357457496</t>
  </si>
  <si>
    <t>1385786712</t>
  </si>
  <si>
    <t>1333073531</t>
  </si>
  <si>
    <t>1334247423</t>
  </si>
  <si>
    <t>1320230986</t>
  </si>
  <si>
    <t>1341943533</t>
  </si>
  <si>
    <t>1350127107</t>
  </si>
  <si>
    <t>1307161109</t>
  </si>
  <si>
    <t>1367956520</t>
  </si>
  <si>
    <t>1378677705</t>
  </si>
  <si>
    <t>1329616079</t>
  </si>
  <si>
    <t>1386448813</t>
  </si>
  <si>
    <t>1373037910</t>
  </si>
  <si>
    <t>1303368963</t>
  </si>
  <si>
    <t>1325436583</t>
  </si>
  <si>
    <t>1315033885</t>
  </si>
  <si>
    <t>1305194737</t>
  </si>
  <si>
    <t>1347848105</t>
  </si>
  <si>
    <t>1336201514</t>
  </si>
  <si>
    <t>1380784579</t>
  </si>
  <si>
    <t>1366813145</t>
  </si>
  <si>
    <t>1322004004</t>
  </si>
  <si>
    <t>1361650573</t>
  </si>
  <si>
    <t>1393088059</t>
  </si>
  <si>
    <t>1356423622</t>
  </si>
  <si>
    <t>1325852849</t>
  </si>
  <si>
    <t>1360925453</t>
  </si>
  <si>
    <t>1329918205</t>
  </si>
  <si>
    <t>1398138454</t>
  </si>
  <si>
    <t>1344059481</t>
  </si>
  <si>
    <t>1345708745</t>
  </si>
  <si>
    <t>1396818712</t>
  </si>
  <si>
    <t>1325369715</t>
  </si>
  <si>
    <t>1398170252</t>
  </si>
  <si>
    <t>1374526071</t>
  </si>
  <si>
    <t>1385805032</t>
  </si>
  <si>
    <t>1348262054</t>
  </si>
  <si>
    <t>1398711316</t>
  </si>
  <si>
    <t>1388436618</t>
  </si>
  <si>
    <t>1334395741</t>
  </si>
  <si>
    <t>1366012716</t>
  </si>
  <si>
    <t>SJ</t>
  </si>
  <si>
    <t>1321825812</t>
  </si>
  <si>
    <t>1342888088</t>
  </si>
  <si>
    <t>1362815904</t>
  </si>
  <si>
    <t>1307614615</t>
  </si>
  <si>
    <t>1333267950</t>
  </si>
  <si>
    <t>1345687862</t>
  </si>
  <si>
    <t>1310872102</t>
  </si>
  <si>
    <t>1397546444</t>
  </si>
  <si>
    <t>1396341498</t>
  </si>
  <si>
    <t>1306842899</t>
  </si>
  <si>
    <t>1305080777</t>
  </si>
  <si>
    <t>1346547210</t>
  </si>
  <si>
    <t>1329764752</t>
  </si>
  <si>
    <t>1342446785</t>
  </si>
  <si>
    <t>1361338575</t>
  </si>
  <si>
    <t>1361850775</t>
  </si>
  <si>
    <t>1326463567</t>
  </si>
  <si>
    <t>1351842967</t>
  </si>
  <si>
    <t>1368755438</t>
  </si>
  <si>
    <t>1356119288</t>
  </si>
  <si>
    <t>1304938549</t>
  </si>
  <si>
    <t>1304969168</t>
  </si>
  <si>
    <t>1306228197</t>
  </si>
  <si>
    <t>1309802703</t>
  </si>
  <si>
    <t>1341122098</t>
  </si>
  <si>
    <t>1335088611</t>
  </si>
  <si>
    <t>1314914436</t>
  </si>
  <si>
    <t>1307764825</t>
  </si>
  <si>
    <t>1320535423</t>
  </si>
  <si>
    <t>1331039545</t>
  </si>
  <si>
    <t>1386973483</t>
  </si>
  <si>
    <t>1327754620</t>
  </si>
  <si>
    <t>1358075319</t>
  </si>
  <si>
    <t>1362685323</t>
  </si>
  <si>
    <t>1333773356</t>
  </si>
  <si>
    <t>IT</t>
  </si>
  <si>
    <t>1305664795</t>
  </si>
  <si>
    <t>1355904867</t>
  </si>
  <si>
    <t>1353423061</t>
  </si>
  <si>
    <t>1365219546</t>
  </si>
  <si>
    <t>1340507980</t>
  </si>
  <si>
    <t>1308691893</t>
  </si>
  <si>
    <t>1334409699</t>
  </si>
  <si>
    <t>1345943579</t>
  </si>
  <si>
    <t>1330654041</t>
  </si>
  <si>
    <t>1319833465</t>
  </si>
  <si>
    <t>1376590044</t>
  </si>
  <si>
    <t>1393796256</t>
  </si>
  <si>
    <t>1352110432</t>
  </si>
  <si>
    <t>1362324253</t>
  </si>
  <si>
    <t>1398662179</t>
  </si>
  <si>
    <t>1351422613</t>
  </si>
  <si>
    <t>1399490698</t>
  </si>
  <si>
    <t>1303571172</t>
  </si>
  <si>
    <t>1391791403</t>
  </si>
  <si>
    <t>1392652546</t>
  </si>
  <si>
    <t>1310804566</t>
  </si>
  <si>
    <t>1314726130</t>
  </si>
  <si>
    <t>1385184633</t>
  </si>
  <si>
    <t>1322023173</t>
  </si>
  <si>
    <t>1388316307</t>
  </si>
  <si>
    <t>1302003380</t>
  </si>
  <si>
    <t>1300562977</t>
  </si>
  <si>
    <t>1387956019</t>
  </si>
  <si>
    <t>1309456400</t>
  </si>
  <si>
    <t>1329967401</t>
  </si>
  <si>
    <t>1308121006</t>
  </si>
  <si>
    <t>1357944083</t>
  </si>
  <si>
    <t>1394134707</t>
  </si>
  <si>
    <t>1354921821</t>
  </si>
  <si>
    <t>1301736970</t>
  </si>
  <si>
    <t>1397560959</t>
  </si>
  <si>
    <t>1357791741</t>
  </si>
  <si>
    <t>1350299376</t>
  </si>
  <si>
    <t>1356999076</t>
  </si>
  <si>
    <t>1354186160</t>
  </si>
  <si>
    <t>1333137860</t>
  </si>
  <si>
    <t>1385347506</t>
  </si>
  <si>
    <t>1322038591</t>
  </si>
  <si>
    <t>1371047850</t>
  </si>
  <si>
    <t>1387768488</t>
  </si>
  <si>
    <t>1313423634</t>
  </si>
  <si>
    <t>1318211500</t>
  </si>
  <si>
    <t>1347516192</t>
  </si>
  <si>
    <t>1399706733</t>
  </si>
  <si>
    <t>1336858773</t>
  </si>
  <si>
    <t>1395346016</t>
  </si>
  <si>
    <t>1317537594</t>
  </si>
  <si>
    <t>1378413113</t>
  </si>
  <si>
    <t>1341617580</t>
  </si>
  <si>
    <t>1394574236</t>
  </si>
  <si>
    <t>1339682138</t>
  </si>
  <si>
    <t>1334915333</t>
  </si>
  <si>
    <t>1336877592</t>
  </si>
  <si>
    <t>1320691815</t>
  </si>
  <si>
    <t>1379483487</t>
  </si>
  <si>
    <t>1311449317</t>
  </si>
  <si>
    <t>1392169781</t>
  </si>
  <si>
    <t>1315540494</t>
  </si>
  <si>
    <t>1317582671</t>
  </si>
  <si>
    <t>1378366065</t>
  </si>
  <si>
    <t>1337867246</t>
  </si>
  <si>
    <t>1354083953</t>
  </si>
  <si>
    <t>1335644095</t>
  </si>
  <si>
    <t>1394047080</t>
  </si>
  <si>
    <t>1383578262</t>
  </si>
  <si>
    <t>1355648330</t>
  </si>
  <si>
    <t>FD</t>
  </si>
  <si>
    <t>1316094195</t>
  </si>
  <si>
    <t>1302184489</t>
  </si>
  <si>
    <t>1313394516</t>
  </si>
  <si>
    <t>1314224501</t>
  </si>
  <si>
    <t>1341440196</t>
  </si>
  <si>
    <t>1310020189</t>
  </si>
  <si>
    <t>1336964867</t>
  </si>
  <si>
    <t>1303779991</t>
  </si>
  <si>
    <t>1394258449</t>
  </si>
  <si>
    <t>1351001660</t>
  </si>
  <si>
    <t>1311009489</t>
  </si>
  <si>
    <t>1307204171</t>
  </si>
  <si>
    <t>1339898844</t>
  </si>
  <si>
    <t>1385800388</t>
  </si>
  <si>
    <t>1397158804</t>
  </si>
  <si>
    <t>1350811181</t>
  </si>
  <si>
    <t>1320533848</t>
  </si>
  <si>
    <t>1336752091</t>
  </si>
  <si>
    <t>1388896126</t>
  </si>
  <si>
    <t>1300250810</t>
  </si>
  <si>
    <t>1301387742</t>
  </si>
  <si>
    <t>1382516233</t>
  </si>
  <si>
    <t>1322902495</t>
  </si>
  <si>
    <t>1388228315</t>
  </si>
  <si>
    <t>1387813655</t>
  </si>
  <si>
    <t>1362115577</t>
  </si>
  <si>
    <t>1388246686</t>
  </si>
  <si>
    <t>1399609974</t>
  </si>
  <si>
    <t>1375343012</t>
  </si>
  <si>
    <t>1350504854</t>
  </si>
  <si>
    <t>1360632891</t>
  </si>
  <si>
    <t>1335291936</t>
  </si>
  <si>
    <t>1303914120</t>
  </si>
  <si>
    <t>1371430878</t>
  </si>
  <si>
    <t>1318313187</t>
  </si>
  <si>
    <t>1312635705</t>
  </si>
  <si>
    <t>1362193497</t>
  </si>
  <si>
    <t>1307584660</t>
  </si>
  <si>
    <t>1341291322</t>
  </si>
  <si>
    <t>1337324395</t>
  </si>
  <si>
    <t>1328235747</t>
  </si>
  <si>
    <t>1352909509</t>
  </si>
  <si>
    <t>1356088965</t>
  </si>
  <si>
    <t>1399169646</t>
  </si>
  <si>
    <t>1338684725</t>
  </si>
  <si>
    <t>1327417189</t>
  </si>
  <si>
    <t>1364615064</t>
  </si>
  <si>
    <t>1302699913</t>
  </si>
  <si>
    <t>1350300735</t>
  </si>
  <si>
    <t>1340977671</t>
  </si>
  <si>
    <t>1387573490</t>
  </si>
  <si>
    <t>1342286588</t>
  </si>
  <si>
    <t>1394805658</t>
  </si>
  <si>
    <t>1349286167</t>
  </si>
  <si>
    <t>1360363692</t>
  </si>
  <si>
    <t>1371115179</t>
  </si>
  <si>
    <t>1330869793</t>
  </si>
  <si>
    <t>1392574477</t>
  </si>
  <si>
    <t>1342573570</t>
  </si>
  <si>
    <t>1393484634</t>
  </si>
  <si>
    <t>1365521344</t>
  </si>
  <si>
    <t>1345621948</t>
  </si>
  <si>
    <t>1340933398</t>
  </si>
  <si>
    <t>1330718570</t>
  </si>
  <si>
    <t>1351341430</t>
  </si>
  <si>
    <t>1336234626</t>
  </si>
  <si>
    <t>1399994045</t>
  </si>
  <si>
    <t>1372398035</t>
  </si>
  <si>
    <t>1365514605</t>
  </si>
  <si>
    <t>1308599438</t>
  </si>
  <si>
    <t>1384812365</t>
  </si>
  <si>
    <t>1326676158</t>
  </si>
  <si>
    <t>1342136823</t>
  </si>
  <si>
    <t>1317783603</t>
  </si>
  <si>
    <t>1365571117</t>
  </si>
  <si>
    <t>1326110870</t>
  </si>
  <si>
    <t>1360139889</t>
  </si>
  <si>
    <t>1342137616</t>
  </si>
  <si>
    <t>1315330315</t>
  </si>
  <si>
    <t>1328752597</t>
  </si>
  <si>
    <t>Z2</t>
  </si>
  <si>
    <t>1385773418</t>
  </si>
  <si>
    <t>1391473576</t>
  </si>
  <si>
    <t>1349001425</t>
  </si>
  <si>
    <t>1378149684</t>
  </si>
  <si>
    <t>1330792386</t>
  </si>
  <si>
    <t>1370628807</t>
  </si>
  <si>
    <t>1364155398</t>
  </si>
  <si>
    <t>1350485029</t>
  </si>
  <si>
    <t>1315330365</t>
  </si>
  <si>
    <t>1330388056</t>
  </si>
  <si>
    <t>1392420002</t>
  </si>
  <si>
    <t>1322233201</t>
  </si>
  <si>
    <t>1317895579</t>
  </si>
  <si>
    <t>1300725806</t>
  </si>
  <si>
    <t>1333991503</t>
  </si>
  <si>
    <t>1337528140</t>
  </si>
  <si>
    <t>1354008945</t>
  </si>
  <si>
    <t>1354943526</t>
  </si>
  <si>
    <t>1327180229</t>
  </si>
  <si>
    <t>1340857238</t>
  </si>
  <si>
    <t>1349710306</t>
  </si>
  <si>
    <t>1397515001</t>
  </si>
  <si>
    <t>1399929132</t>
  </si>
  <si>
    <t>1367748473</t>
  </si>
  <si>
    <t>1366491064</t>
  </si>
  <si>
    <t>1303316084</t>
  </si>
  <si>
    <t>1360888925</t>
  </si>
  <si>
    <t>1353792961</t>
  </si>
  <si>
    <t>1390168492</t>
  </si>
  <si>
    <t>1361403591</t>
  </si>
  <si>
    <t>1313902983</t>
  </si>
  <si>
    <t>1330646143</t>
  </si>
  <si>
    <t>1317798993</t>
  </si>
  <si>
    <t>1392621267</t>
  </si>
  <si>
    <t>1321649669</t>
  </si>
  <si>
    <t>1326576579</t>
  </si>
  <si>
    <t>1363934661</t>
  </si>
  <si>
    <t>1317049052</t>
  </si>
  <si>
    <t>1301709312</t>
  </si>
  <si>
    <t>1378682065</t>
  </si>
  <si>
    <t>1360359443</t>
  </si>
  <si>
    <t>1344675192</t>
  </si>
  <si>
    <t>1311467535</t>
  </si>
  <si>
    <t>1394068646</t>
  </si>
  <si>
    <t>1341898354</t>
  </si>
  <si>
    <t>1350658960</t>
  </si>
  <si>
    <t>GK</t>
  </si>
  <si>
    <t>1367036281</t>
  </si>
  <si>
    <t>1368088820</t>
  </si>
  <si>
    <t>1394975103</t>
  </si>
  <si>
    <t>1375165097</t>
  </si>
  <si>
    <t>1345768280</t>
  </si>
  <si>
    <t>1379161029</t>
  </si>
  <si>
    <t>1395300591</t>
  </si>
  <si>
    <t>1356989301</t>
  </si>
  <si>
    <t>1341960325</t>
  </si>
  <si>
    <t>1331743303</t>
  </si>
  <si>
    <t>1376406790</t>
  </si>
  <si>
    <t>1370057444</t>
  </si>
  <si>
    <t>1380985209</t>
  </si>
  <si>
    <t>1311709743</t>
  </si>
  <si>
    <t>1351697466</t>
  </si>
  <si>
    <t>1382369394</t>
  </si>
  <si>
    <t>1348361741</t>
  </si>
  <si>
    <t>1351679247</t>
  </si>
  <si>
    <t>1359269310</t>
  </si>
  <si>
    <t>1398071695</t>
  </si>
  <si>
    <t>1357166754</t>
  </si>
  <si>
    <t>1377771722</t>
  </si>
  <si>
    <t>1310964055</t>
  </si>
  <si>
    <t>1375081545</t>
  </si>
  <si>
    <t>1359712576</t>
  </si>
  <si>
    <t>1323817772</t>
  </si>
  <si>
    <t>1304944164</t>
  </si>
  <si>
    <t>1333047878</t>
  </si>
  <si>
    <t>1307557951</t>
  </si>
  <si>
    <t>1354223662</t>
  </si>
  <si>
    <t>1304541723</t>
  </si>
  <si>
    <t>1379423569</t>
  </si>
  <si>
    <t>1377689953</t>
  </si>
  <si>
    <t>1332494081</t>
  </si>
  <si>
    <t>1395212231</t>
  </si>
  <si>
    <t>1385036097</t>
  </si>
  <si>
    <t>1312108911</t>
  </si>
  <si>
    <t>1308841100</t>
  </si>
  <si>
    <t>1306131944</t>
  </si>
  <si>
    <t>1334782297</t>
  </si>
  <si>
    <t>1363067975</t>
  </si>
  <si>
    <t>1377358417</t>
  </si>
  <si>
    <t>1323309535</t>
  </si>
  <si>
    <t>1363936062</t>
  </si>
  <si>
    <t>1396863415</t>
  </si>
  <si>
    <t>1370915794</t>
  </si>
  <si>
    <t>1327039806</t>
  </si>
  <si>
    <t>1366046189</t>
  </si>
  <si>
    <t>1385341304</t>
  </si>
  <si>
    <t>1320229410</t>
  </si>
  <si>
    <t>1358109250</t>
  </si>
  <si>
    <t>1324514817</t>
  </si>
  <si>
    <t>1306180773</t>
  </si>
  <si>
    <t>1302489559</t>
  </si>
  <si>
    <t>1354370289</t>
  </si>
  <si>
    <t>1376685190</t>
  </si>
  <si>
    <t>1380533561</t>
  </si>
  <si>
    <t>1344477957</t>
  </si>
  <si>
    <t>1302133032</t>
  </si>
  <si>
    <t>1366630760</t>
  </si>
  <si>
    <t>1399744054</t>
  </si>
  <si>
    <t>1325282709</t>
  </si>
  <si>
    <t>1315280446</t>
  </si>
  <si>
    <t>1380825940</t>
  </si>
  <si>
    <t>1331643666</t>
  </si>
  <si>
    <t>1344519720</t>
  </si>
  <si>
    <t>1389094842</t>
  </si>
  <si>
    <t>1389492075</t>
  </si>
  <si>
    <t>1351307797</t>
  </si>
  <si>
    <t>1383395172</t>
  </si>
  <si>
    <t>1375490630</t>
  </si>
  <si>
    <t>1335650481</t>
  </si>
  <si>
    <t>1311183237</t>
  </si>
  <si>
    <t>1387994416</t>
  </si>
  <si>
    <t>1391680336</t>
  </si>
  <si>
    <t>1323777732</t>
  </si>
  <si>
    <t>1351138391</t>
  </si>
  <si>
    <t>1346858461</t>
  </si>
  <si>
    <t>1305257856</t>
  </si>
  <si>
    <t>1360446566</t>
  </si>
  <si>
    <t>1350258195</t>
  </si>
  <si>
    <t>1318209984</t>
  </si>
  <si>
    <t>1335265015</t>
  </si>
  <si>
    <t>1390449153</t>
  </si>
  <si>
    <t>1339100180</t>
  </si>
  <si>
    <t>1386116584</t>
  </si>
  <si>
    <t>1371014482</t>
  </si>
  <si>
    <t>1353637702</t>
  </si>
  <si>
    <t>1323647649</t>
  </si>
  <si>
    <t>1389429778</t>
  </si>
  <si>
    <t>1338274180</t>
  </si>
  <si>
    <t>1360080662</t>
  </si>
  <si>
    <t>1320340432</t>
  </si>
  <si>
    <t>1372514034</t>
  </si>
  <si>
    <t>1335875264</t>
  </si>
  <si>
    <t>1344121071</t>
  </si>
  <si>
    <t>1365333268</t>
  </si>
  <si>
    <t>1352580891</t>
  </si>
  <si>
    <t>1324887892</t>
  </si>
  <si>
    <t>1311536889</t>
  </si>
  <si>
    <t>1340526350</t>
  </si>
  <si>
    <t>1384869004</t>
  </si>
  <si>
    <t>1377215958</t>
  </si>
  <si>
    <t>1338241417</t>
  </si>
  <si>
    <t>1353932166</t>
  </si>
  <si>
    <t>1333961770</t>
  </si>
  <si>
    <t>1380793999</t>
  </si>
  <si>
    <t>1313825196</t>
  </si>
  <si>
    <t>1322587173</t>
  </si>
  <si>
    <t>1327209903</t>
  </si>
  <si>
    <t>XJ</t>
  </si>
  <si>
    <t>1354526580</t>
  </si>
  <si>
    <t>1348729057</t>
  </si>
  <si>
    <t>1332486532</t>
  </si>
  <si>
    <t>1374527187</t>
  </si>
  <si>
    <t>1347692400</t>
  </si>
  <si>
    <t>1379951287</t>
  </si>
  <si>
    <t>1391914546</t>
  </si>
  <si>
    <t>1387753343</t>
  </si>
  <si>
    <t>1385742463</t>
  </si>
  <si>
    <t>1316930123</t>
  </si>
  <si>
    <t>1352063014</t>
  </si>
  <si>
    <t>1322328771</t>
  </si>
  <si>
    <t>MONTH TREND</t>
  </si>
  <si>
    <t>AIRLINE GROUPING</t>
  </si>
  <si>
    <t>FARE DIFFERENT</t>
  </si>
  <si>
    <t>MARK UP</t>
  </si>
  <si>
    <t>COST OF REFUND</t>
  </si>
  <si>
    <t>LOSS/PROFIT</t>
  </si>
  <si>
    <t>Cat Flag</t>
  </si>
  <si>
    <t>Loss / Profit Flag</t>
  </si>
  <si>
    <t>Refund Flag</t>
  </si>
  <si>
    <t>SUM of INTIAL FARE</t>
  </si>
  <si>
    <t>SUM of ACTUAL FARE</t>
  </si>
  <si>
    <t>Calculated Field 1</t>
  </si>
  <si>
    <t xml:space="preserve">COUNTA of BOOKING NUMBER </t>
  </si>
  <si>
    <t>August</t>
  </si>
  <si>
    <t>LOSS</t>
  </si>
  <si>
    <t>October</t>
  </si>
  <si>
    <t>PROFIT</t>
  </si>
  <si>
    <t>July</t>
  </si>
  <si>
    <t>Grand Total</t>
  </si>
  <si>
    <t>November</t>
  </si>
  <si>
    <t>SUM of COST OF REFUND</t>
  </si>
  <si>
    <t>February</t>
  </si>
  <si>
    <t>June</t>
  </si>
  <si>
    <t>January</t>
  </si>
  <si>
    <t>COUNTA of AIRLINE GROUPING</t>
  </si>
  <si>
    <t>May</t>
  </si>
  <si>
    <t>December</t>
  </si>
  <si>
    <t>April</t>
  </si>
  <si>
    <t>September</t>
  </si>
  <si>
    <t>March</t>
  </si>
  <si>
    <t>Values</t>
  </si>
  <si>
    <t xml:space="preserve"> INTIAL FARE</t>
  </si>
  <si>
    <t xml:space="preserve">TOTAL BOOKING </t>
  </si>
  <si>
    <t>A. Profit &amp; Loss Analysis</t>
  </si>
  <si>
    <t>1. Total Revenue vs. Total Loss</t>
  </si>
  <si>
    <t xml:space="preserve">From the chart, it can be seen that baggage sales in 2025 will still face high losses with a percentage value of 43.78%. This should be a concern and a suitable solution should be found immediately so that the percentage of losses can be reduced.        </t>
  </si>
  <si>
    <t>%</t>
  </si>
  <si>
    <t>N/A</t>
  </si>
  <si>
    <t>2. Loss Analysis by Airline</t>
  </si>
  <si>
    <t>TOTAL AMOUNT</t>
  </si>
  <si>
    <t>3. Impact of Fare Difference</t>
  </si>
  <si>
    <t>INITIAL FARE</t>
  </si>
  <si>
    <t>CASH IMPACT</t>
  </si>
  <si>
    <t>TOTAL BOOKING</t>
  </si>
  <si>
    <t>dari chart ini kita dapat melihat jika ada ketimpangan antara total booking dan jumlah total actual yang mana pada bulan angustus memiliki total loss -Rp29,625,400.00 sedangkan dibulan desember dengan total yang lebih banyak mengalami loss yang lebih sedikit yaitu -Rp14,635,950.00. Hal ini dapat mendemostrasikan bahwa  volume booking yang tinggi belum tentu menjadi root cause dari tingginya kerugian.</t>
  </si>
  <si>
    <t>B. Market Share &amp; Performance</t>
  </si>
  <si>
    <t>1. Top 5 Airlines by Volume</t>
  </si>
  <si>
    <t xml:space="preserve">2. Top 5 Most Popular Routes </t>
  </si>
  <si>
    <t>3. Domestic VS Internasional</t>
  </si>
  <si>
    <t>Although domestic flights have higher transaction volume, international flights show better average margin per transaction, indicating stronger pricing efficiency</t>
  </si>
  <si>
    <t>4. Popular Route + Type</t>
  </si>
  <si>
    <t>the detailed query groups data by both route and flight type, which splits total transactions into multiple categories. When aggregated back, the totals remain consistent.</t>
  </si>
  <si>
    <t xml:space="preserve">QUERY Populer Route + Type count PER ROUTE + PER TYPE (Domestic/International). one route can split into 2 . 
EX: </t>
  </si>
  <si>
    <t>Route</t>
  </si>
  <si>
    <t>Classification</t>
  </si>
  <si>
    <t>Total</t>
  </si>
  <si>
    <t>there's 3 routes in total if we used query most populer route</t>
  </si>
  <si>
    <t>C. Loss Rate</t>
  </si>
  <si>
    <t>1.Loss Rate by Airline</t>
  </si>
  <si>
    <t xml:space="preserve">2.Loss Rate by Route </t>
  </si>
  <si>
    <t>3. Fare increase impact on profit</t>
  </si>
  <si>
    <t>Kode IATA</t>
  </si>
  <si>
    <t>Kota</t>
  </si>
  <si>
    <t>Negara</t>
  </si>
  <si>
    <t>Kode Negara</t>
  </si>
  <si>
    <t>AAP</t>
  </si>
  <si>
    <t>Samarinda</t>
  </si>
  <si>
    <t>Indonesia</t>
  </si>
  <si>
    <t>ADL</t>
  </si>
  <si>
    <t>Adelaide</t>
  </si>
  <si>
    <t>Australia</t>
  </si>
  <si>
    <t>AU</t>
  </si>
  <si>
    <t>AKL</t>
  </si>
  <si>
    <t>Auckland</t>
  </si>
  <si>
    <t>Selandia Baru</t>
  </si>
  <si>
    <t>NZ</t>
  </si>
  <si>
    <t>ALA</t>
  </si>
  <si>
    <t>Almaty</t>
  </si>
  <si>
    <t>Kazakhstan</t>
  </si>
  <si>
    <t>KZ</t>
  </si>
  <si>
    <t>AMD</t>
  </si>
  <si>
    <t>Ahmedabad</t>
  </si>
  <si>
    <t>India</t>
  </si>
  <si>
    <t>IN</t>
  </si>
  <si>
    <t>AMQ</t>
  </si>
  <si>
    <t>Ambon</t>
  </si>
  <si>
    <t>AOR</t>
  </si>
  <si>
    <t>Alor Setar</t>
  </si>
  <si>
    <t>Malaysia</t>
  </si>
  <si>
    <t>MY</t>
  </si>
  <si>
    <t>ATH</t>
  </si>
  <si>
    <t>Athena</t>
  </si>
  <si>
    <t>Yunani</t>
  </si>
  <si>
    <t>GR</t>
  </si>
  <si>
    <t>ATQ</t>
  </si>
  <si>
    <t>Amritsar</t>
  </si>
  <si>
    <t>BCD</t>
  </si>
  <si>
    <t>Bacolod</t>
  </si>
  <si>
    <t>Filipina</t>
  </si>
  <si>
    <t>PH</t>
  </si>
  <si>
    <t>BDJ</t>
  </si>
  <si>
    <t>Banjarmasin</t>
  </si>
  <si>
    <t>BFV</t>
  </si>
  <si>
    <t>Buriram</t>
  </si>
  <si>
    <t>Thailand</t>
  </si>
  <si>
    <t>TH</t>
  </si>
  <si>
    <t>BIK</t>
  </si>
  <si>
    <t>Biak</t>
  </si>
  <si>
    <t>BKI</t>
  </si>
  <si>
    <t>Kota Kinabalu</t>
  </si>
  <si>
    <t>BKK</t>
  </si>
  <si>
    <t>Bangkok (Suvarnabhumi)</t>
  </si>
  <si>
    <t>BNE</t>
  </si>
  <si>
    <t>Brisbane</t>
  </si>
  <si>
    <t>BPN</t>
  </si>
  <si>
    <t>Balikpapan</t>
  </si>
  <si>
    <t>BTH</t>
  </si>
  <si>
    <t>Batam</t>
  </si>
  <si>
    <t>BTJ</t>
  </si>
  <si>
    <t>Banda Aceh</t>
  </si>
  <si>
    <t>BTU</t>
  </si>
  <si>
    <t>Bintulu</t>
  </si>
  <si>
    <t>BWN</t>
  </si>
  <si>
    <t>Bandar Seri Begawan</t>
  </si>
  <si>
    <t>Brunei</t>
  </si>
  <si>
    <t>BN</t>
  </si>
  <si>
    <t>BXU</t>
  </si>
  <si>
    <t>Butuan</t>
  </si>
  <si>
    <t>CAN</t>
  </si>
  <si>
    <t>Guangzhou</t>
  </si>
  <si>
    <t>China</t>
  </si>
  <si>
    <t>CN</t>
  </si>
  <si>
    <t>CCU</t>
  </si>
  <si>
    <t>Kolkata</t>
  </si>
  <si>
    <t>CEB</t>
  </si>
  <si>
    <t>Cebu</t>
  </si>
  <si>
    <t>CEI</t>
  </si>
  <si>
    <t>Chiang Rai</t>
  </si>
  <si>
    <t>CGK</t>
  </si>
  <si>
    <t>Jakarta (Soekarno-Hatta)</t>
  </si>
  <si>
    <t>CGY</t>
  </si>
  <si>
    <t>Cagayan de Oro</t>
  </si>
  <si>
    <t>CHC</t>
  </si>
  <si>
    <t>Christchurch</t>
  </si>
  <si>
    <t>CJM</t>
  </si>
  <si>
    <t>Chumphon</t>
  </si>
  <si>
    <t>CJU</t>
  </si>
  <si>
    <t>Jeju</t>
  </si>
  <si>
    <t>Korea Selatan</t>
  </si>
  <si>
    <t>KR</t>
  </si>
  <si>
    <t>CMB</t>
  </si>
  <si>
    <t>Colombo</t>
  </si>
  <si>
    <t>Sri Lanka</t>
  </si>
  <si>
    <t>LK</t>
  </si>
  <si>
    <t>CMN</t>
  </si>
  <si>
    <t>Casablanca</t>
  </si>
  <si>
    <t>Maroko</t>
  </si>
  <si>
    <t>MA</t>
  </si>
  <si>
    <t>CNS</t>
  </si>
  <si>
    <t>Cairns</t>
  </si>
  <si>
    <t>CNX</t>
  </si>
  <si>
    <t>Chiang Mai</t>
  </si>
  <si>
    <t>COK</t>
  </si>
  <si>
    <t>Kochi</t>
  </si>
  <si>
    <t>CXR</t>
  </si>
  <si>
    <t>Cam Ranh/Nha Trang</t>
  </si>
  <si>
    <t>Vietnam</t>
  </si>
  <si>
    <t>DAD</t>
  </si>
  <si>
    <t>Da Nang</t>
  </si>
  <si>
    <t>DEL</t>
  </si>
  <si>
    <t>Delhi</t>
  </si>
  <si>
    <t>DGT</t>
  </si>
  <si>
    <t>Dumaguete</t>
  </si>
  <si>
    <t>DIL</t>
  </si>
  <si>
    <t>Dili</t>
  </si>
  <si>
    <t>Timor Leste</t>
  </si>
  <si>
    <t>TL</t>
  </si>
  <si>
    <t>DJB</t>
  </si>
  <si>
    <t>Jambi</t>
  </si>
  <si>
    <t>DJJ</t>
  </si>
  <si>
    <t>Jayapura</t>
  </si>
  <si>
    <t>DLI</t>
  </si>
  <si>
    <t>Dalat</t>
  </si>
  <si>
    <t>DMK</t>
  </si>
  <si>
    <t>Bangkok (Don Mueang)</t>
  </si>
  <si>
    <t>DPS</t>
  </si>
  <si>
    <t>Bali (Denpasar)</t>
  </si>
  <si>
    <t>DRW</t>
  </si>
  <si>
    <t>Darwin</t>
  </si>
  <si>
    <t>DTB</t>
  </si>
  <si>
    <t>Delta Baru (Domestik)</t>
  </si>
  <si>
    <t>-</t>
  </si>
  <si>
    <t>DVO</t>
  </si>
  <si>
    <t>Davao</t>
  </si>
  <si>
    <t>ENE</t>
  </si>
  <si>
    <t>Ende</t>
  </si>
  <si>
    <t>FUK</t>
  </si>
  <si>
    <t>Fukuoka</t>
  </si>
  <si>
    <t>Jepang</t>
  </si>
  <si>
    <t>JP</t>
  </si>
  <si>
    <t>GAY</t>
  </si>
  <si>
    <t>Gaya</t>
  </si>
  <si>
    <t>GES</t>
  </si>
  <si>
    <t>General Santos</t>
  </si>
  <si>
    <t>GTO</t>
  </si>
  <si>
    <t>Gorontalo</t>
  </si>
  <si>
    <t>HAK</t>
  </si>
  <si>
    <t>Haikou</t>
  </si>
  <si>
    <t>HAN</t>
  </si>
  <si>
    <t>Hanoi</t>
  </si>
  <si>
    <t>HBA</t>
  </si>
  <si>
    <t>Hobart</t>
  </si>
  <si>
    <t>HDY</t>
  </si>
  <si>
    <t>Hat Yai</t>
  </si>
  <si>
    <t>HGH</t>
  </si>
  <si>
    <t>Hangzhou</t>
  </si>
  <si>
    <t>HHQ</t>
  </si>
  <si>
    <t>Hua Hin</t>
  </si>
  <si>
    <t>HKG</t>
  </si>
  <si>
    <t>Hong Kong</t>
  </si>
  <si>
    <t>HK</t>
  </si>
  <si>
    <t>HKT</t>
  </si>
  <si>
    <t>Phuket</t>
  </si>
  <si>
    <t>HLP</t>
  </si>
  <si>
    <t>Jakarta (Halim P.)</t>
  </si>
  <si>
    <t>HND</t>
  </si>
  <si>
    <t>Tokyo (Haneda)</t>
  </si>
  <si>
    <t>HPH</t>
  </si>
  <si>
    <t>Hai Phong</t>
  </si>
  <si>
    <t>HUI</t>
  </si>
  <si>
    <t>Hue</t>
  </si>
  <si>
    <t>ICN</t>
  </si>
  <si>
    <t>Seoul (Incheon)</t>
  </si>
  <si>
    <t>ILO</t>
  </si>
  <si>
    <t>Iloilo</t>
  </si>
  <si>
    <t>JHB</t>
  </si>
  <si>
    <t>Johor Bahru</t>
  </si>
  <si>
    <t>JOG</t>
  </si>
  <si>
    <t>Yogyakarta (Adisutjipto)</t>
  </si>
  <si>
    <t>KBR</t>
  </si>
  <si>
    <t>Kota Bharu</t>
  </si>
  <si>
    <t>KBV</t>
  </si>
  <si>
    <t>Krabi</t>
  </si>
  <si>
    <t>KCH</t>
  </si>
  <si>
    <t>Kuching</t>
  </si>
  <si>
    <t>KDI</t>
  </si>
  <si>
    <t>Kendari</t>
  </si>
  <si>
    <t>KHH</t>
  </si>
  <si>
    <t>Kaohsiung</t>
  </si>
  <si>
    <t>Taiwan</t>
  </si>
  <si>
    <t>TW</t>
  </si>
  <si>
    <t>KIX</t>
  </si>
  <si>
    <t>Osaka (Kansai)</t>
  </si>
  <si>
    <t>KKC</t>
  </si>
  <si>
    <t>Khon Kaen</t>
  </si>
  <si>
    <t>KLO</t>
  </si>
  <si>
    <t>Kalibo</t>
  </si>
  <si>
    <t>KMG</t>
  </si>
  <si>
    <t>Kunming</t>
  </si>
  <si>
    <t>KNO</t>
  </si>
  <si>
    <t>Medan (Kualanamu)</t>
  </si>
  <si>
    <t>KOE</t>
  </si>
  <si>
    <t>Kupang</t>
  </si>
  <si>
    <t>KOP</t>
  </si>
  <si>
    <t>Nakhon Phanom</t>
  </si>
  <si>
    <t>KOS</t>
  </si>
  <si>
    <t>Sihanoukville</t>
  </si>
  <si>
    <t>Kamboja</t>
  </si>
  <si>
    <t>KH</t>
  </si>
  <si>
    <t>KUL</t>
  </si>
  <si>
    <t>Kuala Lumpur</t>
  </si>
  <si>
    <t>KTM</t>
  </si>
  <si>
    <t>Kathmandu</t>
  </si>
  <si>
    <t>Nepal</t>
  </si>
  <si>
    <t>NP</t>
  </si>
  <si>
    <t>LBJ</t>
  </si>
  <si>
    <t>Labuan Bajo</t>
  </si>
  <si>
    <t>LGK</t>
  </si>
  <si>
    <t>Langkawi</t>
  </si>
  <si>
    <t>LOP</t>
  </si>
  <si>
    <t>Lombok</t>
  </si>
  <si>
    <t>LPQ</t>
  </si>
  <si>
    <t>Luang Prabang</t>
  </si>
  <si>
    <t>Laos</t>
  </si>
  <si>
    <t>LA</t>
  </si>
  <si>
    <t>LPT</t>
  </si>
  <si>
    <t>Lopburi</t>
  </si>
  <si>
    <t>MAA</t>
  </si>
  <si>
    <t>Chennai</t>
  </si>
  <si>
    <t>MAD</t>
  </si>
  <si>
    <t>Madrid</t>
  </si>
  <si>
    <t>Spanyol</t>
  </si>
  <si>
    <t>ES</t>
  </si>
  <si>
    <t>MAQ</t>
  </si>
  <si>
    <t>Mae Sot</t>
  </si>
  <si>
    <t>MDC</t>
  </si>
  <si>
    <t>Manado</t>
  </si>
  <si>
    <t>MEL</t>
  </si>
  <si>
    <t>Melbourne</t>
  </si>
  <si>
    <t>MLE</t>
  </si>
  <si>
    <t>Male</t>
  </si>
  <si>
    <t>Maladewa</t>
  </si>
  <si>
    <t>MV</t>
  </si>
  <si>
    <t>MLG</t>
  </si>
  <si>
    <t>Malang</t>
  </si>
  <si>
    <t>MNL</t>
  </si>
  <si>
    <t>Manila</t>
  </si>
  <si>
    <t>MPH</t>
  </si>
  <si>
    <t>Caticlan (Boracay)</t>
  </si>
  <si>
    <t>MYY</t>
  </si>
  <si>
    <t>Miri</t>
  </si>
  <si>
    <t>NBX</t>
  </si>
  <si>
    <t>Nabire</t>
  </si>
  <si>
    <t>NCE</t>
  </si>
  <si>
    <t>Nice</t>
  </si>
  <si>
    <t>Prancis</t>
  </si>
  <si>
    <t>FR</t>
  </si>
  <si>
    <t>NGO</t>
  </si>
  <si>
    <t>Nagoya</t>
  </si>
  <si>
    <t>NNT</t>
  </si>
  <si>
    <t>Nan</t>
  </si>
  <si>
    <t>NRT</t>
  </si>
  <si>
    <t>Tokyo (Narita)</t>
  </si>
  <si>
    <t>NST</t>
  </si>
  <si>
    <t>Nakhon Si Thammarat</t>
  </si>
  <si>
    <t>OOL</t>
  </si>
  <si>
    <t>Gold Coast</t>
  </si>
  <si>
    <t>OZC</t>
  </si>
  <si>
    <t>Ozamiz</t>
  </si>
  <si>
    <t>PDG</t>
  </si>
  <si>
    <t>Padang</t>
  </si>
  <si>
    <t>PEN</t>
  </si>
  <si>
    <t>Penang</t>
  </si>
  <si>
    <t>PER</t>
  </si>
  <si>
    <t>Perth</t>
  </si>
  <si>
    <t>PGK</t>
  </si>
  <si>
    <t>Pangkal Pinang</t>
  </si>
  <si>
    <t>PHS</t>
  </si>
  <si>
    <t>Phitsanulok</t>
  </si>
  <si>
    <t>PKU</t>
  </si>
  <si>
    <t>Pekanbaru</t>
  </si>
  <si>
    <t>PKX</t>
  </si>
  <si>
    <t>Beijing (Daxing)</t>
  </si>
  <si>
    <t>PKY</t>
  </si>
  <si>
    <t>Palangkaraya</t>
  </si>
  <si>
    <t>PLM</t>
  </si>
  <si>
    <t>Palembang</t>
  </si>
  <si>
    <t>PLW</t>
  </si>
  <si>
    <t>Palu</t>
  </si>
  <si>
    <t>PNK</t>
  </si>
  <si>
    <t>Pontianak</t>
  </si>
  <si>
    <t>PQC</t>
  </si>
  <si>
    <t>Phu Quoc</t>
  </si>
  <si>
    <t>PPS</t>
  </si>
  <si>
    <t>Puerto Princesa</t>
  </si>
  <si>
    <t>PUS</t>
  </si>
  <si>
    <t>Busan</t>
  </si>
  <si>
    <t>PVG</t>
  </si>
  <si>
    <t>Shanghai (Pudong)</t>
  </si>
  <si>
    <t>PXU</t>
  </si>
  <si>
    <t>Pleiku</t>
  </si>
  <si>
    <t>RMQ</t>
  </si>
  <si>
    <t>Taichung</t>
  </si>
  <si>
    <t>ROI</t>
  </si>
  <si>
    <t>Roi Et</t>
  </si>
  <si>
    <t>SAI</t>
  </si>
  <si>
    <t>Siem Reap</t>
  </si>
  <si>
    <t>SBW</t>
  </si>
  <si>
    <t>Sibu</t>
  </si>
  <si>
    <t>SDK</t>
  </si>
  <si>
    <t>Sandakan</t>
  </si>
  <si>
    <t>SGN</t>
  </si>
  <si>
    <t>Ho Chi Minh City</t>
  </si>
  <si>
    <t>SHJ</t>
  </si>
  <si>
    <t>Sharjah</t>
  </si>
  <si>
    <t>Uni Emirat Arab</t>
  </si>
  <si>
    <t>AE</t>
  </si>
  <si>
    <t>SIN</t>
  </si>
  <si>
    <t>Singapura</t>
  </si>
  <si>
    <t>SG</t>
  </si>
  <si>
    <t>SMQ</t>
  </si>
  <si>
    <t>Sampit</t>
  </si>
  <si>
    <t>SNO</t>
  </si>
  <si>
    <t>Sakon Nakhon</t>
  </si>
  <si>
    <t>SOC</t>
  </si>
  <si>
    <t>Solo</t>
  </si>
  <si>
    <t>SOQ</t>
  </si>
  <si>
    <t>Sorong</t>
  </si>
  <si>
    <t>SRG</t>
  </si>
  <si>
    <t>Semarang</t>
  </si>
  <si>
    <t>SUB</t>
  </si>
  <si>
    <t>Surabaya</t>
  </si>
  <si>
    <t>SYD</t>
  </si>
  <si>
    <t>Sydney</t>
  </si>
  <si>
    <t>SZB</t>
  </si>
  <si>
    <t>Kuala Lumpur (Subang)</t>
  </si>
  <si>
    <t>SZX</t>
  </si>
  <si>
    <t>Shenzhen</t>
  </si>
  <si>
    <t>TAC</t>
  </si>
  <si>
    <t>Tacloban</t>
  </si>
  <si>
    <t>TAG</t>
  </si>
  <si>
    <t>Tagbilaran</t>
  </si>
  <si>
    <t>TBB</t>
  </si>
  <si>
    <t>Tuy Hoa</t>
  </si>
  <si>
    <t>THD</t>
  </si>
  <si>
    <t>Thanh Hoa</t>
  </si>
  <si>
    <t>TIM</t>
  </si>
  <si>
    <t>Timika</t>
  </si>
  <si>
    <t>TKG</t>
  </si>
  <si>
    <t>Bandar Lampung</t>
  </si>
  <si>
    <t>TNJ</t>
  </si>
  <si>
    <t>Tanjung Pinang</t>
  </si>
  <si>
    <t>TMC</t>
  </si>
  <si>
    <t>Tambolaka</t>
  </si>
  <si>
    <t>TPE</t>
  </si>
  <si>
    <t>Taipei</t>
  </si>
  <si>
    <t>TRK</t>
  </si>
  <si>
    <t>Tarakan</t>
  </si>
  <si>
    <t>TST</t>
  </si>
  <si>
    <t>Trang</t>
  </si>
  <si>
    <t>TTE</t>
  </si>
  <si>
    <t>Ternate</t>
  </si>
  <si>
    <t>TWU</t>
  </si>
  <si>
    <t>Tawau</t>
  </si>
  <si>
    <t>UBP</t>
  </si>
  <si>
    <t>Ubon Ratchathani</t>
  </si>
  <si>
    <t>UIH</t>
  </si>
  <si>
    <t>Qui Nhon</t>
  </si>
  <si>
    <t>UPG</t>
  </si>
  <si>
    <t>Makassar</t>
  </si>
  <si>
    <t>URT</t>
  </si>
  <si>
    <t>Surat Thani</t>
  </si>
  <si>
    <t>USU</t>
  </si>
  <si>
    <t>Busuanga</t>
  </si>
  <si>
    <t>UTH</t>
  </si>
  <si>
    <t>Udon Thani</t>
  </si>
  <si>
    <t>VCA</t>
  </si>
  <si>
    <t>Can Tho</t>
  </si>
  <si>
    <t>VDH</t>
  </si>
  <si>
    <t>Dong Hoi</t>
  </si>
  <si>
    <t>VTE</t>
  </si>
  <si>
    <t>Vientiane</t>
  </si>
  <si>
    <t>WGP</t>
  </si>
  <si>
    <t>Waingapu</t>
  </si>
  <si>
    <t>XMN</t>
  </si>
  <si>
    <t>Xiamen</t>
  </si>
  <si>
    <t>YIA</t>
  </si>
  <si>
    <t>Yogyakarta (Intl)</t>
  </si>
  <si>
    <t>ZAM</t>
  </si>
  <si>
    <t>Zamboanga</t>
  </si>
  <si>
    <t>BEJ</t>
  </si>
  <si>
    <t>Berau</t>
  </si>
  <si>
    <t>BKS</t>
  </si>
  <si>
    <t>Bengkulu</t>
  </si>
  <si>
    <t>BLR</t>
  </si>
  <si>
    <t>Bengaluru</t>
  </si>
  <si>
    <t>BOM</t>
  </si>
  <si>
    <t>Mumbai</t>
  </si>
  <si>
    <t>BWX</t>
  </si>
  <si>
    <t>Banyuwangi</t>
  </si>
  <si>
    <t>CKG</t>
  </si>
  <si>
    <t>Chanthaburi (Domestik)</t>
  </si>
  <si>
    <t>CTS</t>
  </si>
  <si>
    <t>Sapporo (New Chitose)</t>
  </si>
  <si>
    <t>DRP</t>
  </si>
  <si>
    <t>Dipolog</t>
  </si>
  <si>
    <t>DXB</t>
  </si>
  <si>
    <t>Dubai</t>
  </si>
  <si>
    <t>EWE</t>
  </si>
  <si>
    <t>Ewer</t>
  </si>
  <si>
    <t>GMP</t>
  </si>
  <si>
    <t>Seoul (Gimpo)</t>
  </si>
  <si>
    <t>HIJ</t>
  </si>
  <si>
    <t>Hiroshima</t>
  </si>
  <si>
    <t>IST</t>
  </si>
  <si>
    <t>Istanbul</t>
  </si>
  <si>
    <t>Turki</t>
  </si>
  <si>
    <t>JED</t>
  </si>
  <si>
    <t>Jeddah</t>
  </si>
  <si>
    <t>Arab Saudi</t>
  </si>
  <si>
    <t>SA</t>
  </si>
  <si>
    <t>KHI</t>
  </si>
  <si>
    <t>Karachi</t>
  </si>
  <si>
    <t>Pakistan</t>
  </si>
  <si>
    <t>PK</t>
  </si>
  <si>
    <t>KTI</t>
  </si>
  <si>
    <t>Kratie</t>
  </si>
  <si>
    <t>KTG</t>
  </si>
  <si>
    <t>Ketapang</t>
  </si>
  <si>
    <t>LLO</t>
  </si>
  <si>
    <t>Palopo (Lagaligo)</t>
  </si>
  <si>
    <t>LMU</t>
  </si>
  <si>
    <t>Lumajang (Domestik)</t>
  </si>
  <si>
    <t>LOE</t>
  </si>
  <si>
    <t>Loei</t>
  </si>
  <si>
    <t>MCY</t>
  </si>
  <si>
    <t>Sunshine Coast</t>
  </si>
  <si>
    <t>MED</t>
  </si>
  <si>
    <t>Madinah</t>
  </si>
  <si>
    <t>MFM</t>
  </si>
  <si>
    <t>Macau</t>
  </si>
  <si>
    <t>MO</t>
  </si>
  <si>
    <t>MKQ</t>
  </si>
  <si>
    <t>Merauke</t>
  </si>
  <si>
    <t>MKW</t>
  </si>
  <si>
    <t>Manokwari</t>
  </si>
  <si>
    <t>MOH</t>
  </si>
  <si>
    <t>Morowali</t>
  </si>
  <si>
    <t>OKA</t>
  </si>
  <si>
    <t>Okinawa</t>
  </si>
  <si>
    <t>RGN</t>
  </si>
  <si>
    <t>Yangon</t>
  </si>
  <si>
    <t>Myanmar</t>
  </si>
  <si>
    <t>MM</t>
  </si>
  <si>
    <t>TFU</t>
  </si>
  <si>
    <t>Chengdu (Tianfu)</t>
  </si>
  <si>
    <t>TGG</t>
  </si>
  <si>
    <t>Kuala Terengganu</t>
  </si>
  <si>
    <t>TJQ</t>
  </si>
  <si>
    <t>Tanjung Pandan (Belitung)</t>
  </si>
  <si>
    <t>TRT</t>
  </si>
  <si>
    <t>TRZ</t>
  </si>
  <si>
    <t>Tiruchirappalli</t>
  </si>
  <si>
    <t>UNN</t>
  </si>
  <si>
    <t>Ranong</t>
  </si>
  <si>
    <t>USM</t>
  </si>
  <si>
    <t>Koh Samui</t>
  </si>
  <si>
    <t>UTP</t>
  </si>
  <si>
    <t>Rayong (Pattaya)</t>
  </si>
  <si>
    <t>VCL</t>
  </si>
  <si>
    <t>Chu Lai</t>
  </si>
  <si>
    <t>VII</t>
  </si>
  <si>
    <t>Vinh</t>
  </si>
  <si>
    <t>WUH</t>
  </si>
  <si>
    <t>Wuhan</t>
  </si>
  <si>
    <t>XIY</t>
  </si>
  <si>
    <t>Xi'an</t>
  </si>
  <si>
    <t>BMV</t>
  </si>
  <si>
    <t>Buon Ma Thuot</t>
  </si>
  <si>
    <t>CRK</t>
  </si>
  <si>
    <t>Angeles City (Clark)</t>
  </si>
  <si>
    <t>SWQ</t>
  </si>
  <si>
    <t>Sumbawa Besar</t>
  </si>
  <si>
    <t>BMU</t>
  </si>
  <si>
    <t>Bima</t>
  </si>
  <si>
    <t>BNK</t>
  </si>
  <si>
    <t>Ballina</t>
  </si>
  <si>
    <t>BTW</t>
  </si>
  <si>
    <t>Batu Licin</t>
  </si>
  <si>
    <t>BUW</t>
  </si>
  <si>
    <t>Baubau</t>
  </si>
  <si>
    <t>DIN</t>
  </si>
  <si>
    <t>Dien Bien Phu</t>
  </si>
  <si>
    <t>DPL</t>
  </si>
  <si>
    <t>GNS</t>
  </si>
  <si>
    <t>Gunung Sitoli</t>
  </si>
  <si>
    <t>HMS</t>
  </si>
  <si>
    <t>Hamedan</t>
  </si>
  <si>
    <t>Iran</t>
  </si>
  <si>
    <t>IR</t>
  </si>
  <si>
    <t>IPH</t>
  </si>
  <si>
    <t>Ipoh</t>
  </si>
  <si>
    <t>JAI</t>
  </si>
  <si>
    <t>Jaipur</t>
  </si>
  <si>
    <t>KXB</t>
  </si>
  <si>
    <t>Kaimana</t>
  </si>
  <si>
    <t>LBU</t>
  </si>
  <si>
    <t>Labuan</t>
  </si>
  <si>
    <t>LHE</t>
  </si>
  <si>
    <t>Lahore</t>
  </si>
  <si>
    <t>LLJ</t>
  </si>
  <si>
    <t>Lalitpur</t>
  </si>
  <si>
    <t>LST</t>
  </si>
  <si>
    <t>Launceston</t>
  </si>
  <si>
    <t>LUV</t>
  </si>
  <si>
    <t>Langgur (Tual)</t>
  </si>
  <si>
    <t>MJU</t>
  </si>
  <si>
    <t>Mamuju</t>
  </si>
  <si>
    <t>NTX</t>
  </si>
  <si>
    <t>OTI</t>
  </si>
  <si>
    <t>Ote</t>
  </si>
  <si>
    <t>RTI</t>
  </si>
  <si>
    <t>Rote</t>
  </si>
  <si>
    <t>SKJ</t>
  </si>
  <si>
    <t>Skelleftea</t>
  </si>
  <si>
    <t>Swedia</t>
  </si>
  <si>
    <t>SE</t>
  </si>
  <si>
    <t>TAO</t>
  </si>
  <si>
    <t>Qingdao</t>
  </si>
  <si>
    <t>TLI</t>
  </si>
  <si>
    <t>Tolitoli</t>
  </si>
  <si>
    <t>VCS</t>
  </si>
  <si>
    <t>Con Dao</t>
  </si>
  <si>
    <t>VDO</t>
  </si>
  <si>
    <t>Van Don</t>
  </si>
  <si>
    <t>XSP</t>
  </si>
  <si>
    <t>Singapura (Seletar)</t>
  </si>
  <si>
    <t>Hyderabad</t>
  </si>
  <si>
    <t>HYD</t>
  </si>
  <si>
    <t>Rajiv Gandhi International Airport</t>
  </si>
  <si>
    <t>Nama Maskapai</t>
  </si>
  <si>
    <t>Airline Grouping</t>
  </si>
  <si>
    <t>Lion Air</t>
  </si>
  <si>
    <t>Lion Air Group</t>
  </si>
  <si>
    <t>Batik Air</t>
  </si>
  <si>
    <t>Batik Air Malaysia</t>
  </si>
  <si>
    <t>Thai Lion Air</t>
  </si>
  <si>
    <t>Wings Air</t>
  </si>
  <si>
    <t>AirAsia (Malaysia)</t>
  </si>
  <si>
    <t>AirAsia Group</t>
  </si>
  <si>
    <t>Indonesia AirAsia</t>
  </si>
  <si>
    <t>Thai AirAsia</t>
  </si>
  <si>
    <t>Philippines AirAsia</t>
  </si>
  <si>
    <t>Garuda Indonesia</t>
  </si>
  <si>
    <t>Garuda Indonesia Group</t>
  </si>
  <si>
    <t>Citilink</t>
  </si>
  <si>
    <t>Vietnam Airlines</t>
  </si>
  <si>
    <t>Vietnam Airlines Group</t>
  </si>
  <si>
    <t>Vietravel Airlines</t>
  </si>
  <si>
    <t>Vietravel Group</t>
  </si>
  <si>
    <t>VietJet Air</t>
  </si>
  <si>
    <t>VietJet Group</t>
  </si>
  <si>
    <t>Thai VietJet Air</t>
  </si>
  <si>
    <t>Scoot</t>
  </si>
  <si>
    <t>Singapore Airlines Group</t>
  </si>
  <si>
    <t>Cebu Pacific</t>
  </si>
  <si>
    <t>JG Summit Holdings</t>
  </si>
  <si>
    <t>Tigerair Taiwan</t>
  </si>
  <si>
    <t>China Airlines Group</t>
  </si>
  <si>
    <t>Nok Air</t>
  </si>
  <si>
    <t>Thai Airways Group (Associate)</t>
  </si>
  <si>
    <t>QH</t>
  </si>
  <si>
    <t>Bamboo Airways</t>
  </si>
  <si>
    <t>Bamboo Airways Group</t>
  </si>
  <si>
    <t>Sriwijaya Air</t>
  </si>
  <si>
    <t>Sriwijaya Air Group</t>
  </si>
  <si>
    <t>Jetstar Japan</t>
  </si>
  <si>
    <t>Qantas Group</t>
  </si>
  <si>
    <t>Vistara</t>
  </si>
  <si>
    <t>Tata Group / Singapore Airlines</t>
  </si>
  <si>
    <t>Virgin Australia</t>
  </si>
  <si>
    <t>Virgin Australia Group</t>
  </si>
  <si>
    <t>AirAsia X</t>
  </si>
  <si>
    <t>FY</t>
  </si>
  <si>
    <t>Firefly</t>
  </si>
  <si>
    <t>Malaysia Aviation Group (MAG)</t>
  </si>
  <si>
    <t>Thai AirAsia X</t>
  </si>
  <si>
    <t>IP</t>
  </si>
  <si>
    <t>Apsara International</t>
  </si>
  <si>
    <t>Independent</t>
  </si>
  <si>
    <t>ZG</t>
  </si>
  <si>
    <t>Zipair Tokyo</t>
  </si>
  <si>
    <t>Japan Airlines (JAL) Group</t>
  </si>
  <si>
    <t>3O</t>
  </si>
  <si>
    <t>Air Arabia Maroc</t>
  </si>
  <si>
    <t>Air Arabia Group</t>
  </si>
  <si>
    <t>G9</t>
  </si>
  <si>
    <t>Air Arabia</t>
  </si>
  <si>
    <t>NQ</t>
  </si>
  <si>
    <t>Air Japan</t>
  </si>
  <si>
    <t>ANA Group</t>
  </si>
  <si>
    <t>JQ</t>
  </si>
  <si>
    <t>Jetstar Airways</t>
  </si>
  <si>
    <t>MH</t>
  </si>
  <si>
    <t>Malaysia Airlines</t>
  </si>
  <si>
    <t>IU</t>
  </si>
  <si>
    <t>SWIFT JET (Super Air Jet)</t>
  </si>
  <si>
    <t>DG</t>
  </si>
  <si>
    <t>Cebgo</t>
  </si>
  <si>
    <t>JG Summit Holdings (Cebu Pacific)</t>
  </si>
  <si>
    <t>BX</t>
  </si>
  <si>
    <t>Air Busan</t>
  </si>
  <si>
    <t>Asiana Airlines Group</t>
  </si>
  <si>
    <t>7C</t>
  </si>
  <si>
    <t>Jeju Air</t>
  </si>
  <si>
    <t>AK Holdings (Independent)</t>
  </si>
  <si>
    <t>XY</t>
  </si>
  <si>
    <t>Flynas</t>
  </si>
  <si>
    <t>NAS Holding</t>
  </si>
  <si>
    <t>PG</t>
  </si>
  <si>
    <t>Bangkok Airways</t>
  </si>
  <si>
    <t>Bangkok Airways Group</t>
  </si>
  <si>
    <t>F3</t>
  </si>
  <si>
    <t>Flyadeal</t>
  </si>
  <si>
    <t>Saudi Arabian Airlines (Saudia)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</si>
</sst>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.00"/>
    <numFmt numFmtId="165" formatCode="[$Rp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 shrinkToFit="0" wrapText="1"/>
    </xf>
    <xf borderId="0" fillId="2" fontId="2" numFmtId="164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Border="1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1" numFmtId="165" xfId="0" applyAlignment="1" applyFont="1" applyNumberFormat="1">
      <alignment horizontal="center" shrinkToFit="0" wrapText="1"/>
    </xf>
    <xf borderId="0" fillId="0" fontId="1" numFmtId="0" xfId="0" applyFont="1"/>
    <xf borderId="1" fillId="0" fontId="1" numFmtId="1" xfId="0" applyAlignment="1" applyBorder="1" applyFont="1" applyNumberFormat="1">
      <alignment horizontal="center" shrinkToFit="0" wrapText="1"/>
    </xf>
    <xf borderId="1" fillId="0" fontId="1" numFmtId="1" xfId="0" applyAlignment="1" applyBorder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1" fillId="0" fontId="1" numFmtId="1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0"/>
    </xf>
    <xf borderId="1" fillId="0" fontId="1" numFmtId="165" xfId="0" applyBorder="1" applyFont="1" applyNumberForma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DASHBOARD!$B$7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DASHBOARD!$A$8:$A$10</c:f>
            </c:strRef>
          </c:cat>
          <c:val>
            <c:numRef>
              <c:f>DASHBOARD!$B$8:$B$10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 of Fare Difference as per Total Booking per Month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DASHBOARD!$C$48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DASHBOARD!$B$49:$B$60</c:f>
            </c:strRef>
          </c:cat>
          <c:val>
            <c:numRef>
              <c:f>DASHBOARD!$C$49:$C$60</c:f>
              <c:numCache/>
            </c:numRef>
          </c:val>
        </c:ser>
        <c:axId val="210948770"/>
        <c:axId val="131801695"/>
      </c:barChart>
      <c:catAx>
        <c:axId val="2109487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BOOKING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01695"/>
      </c:catAx>
      <c:valAx>
        <c:axId val="131801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Calculated Field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487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Airline with Highest Exposure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DASHBOARD!$A$69:$A$73</c:f>
            </c:strRef>
          </c:cat>
          <c:val>
            <c:numRef>
              <c:f>DASHBOARD!$B$69:$B$73</c:f>
              <c:numCache/>
            </c:numRef>
          </c:val>
        </c:ser>
        <c:axId val="1889520184"/>
        <c:axId val="628994795"/>
      </c:barChart>
      <c:catAx>
        <c:axId val="1889520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994795"/>
      </c:catAx>
      <c:valAx>
        <c:axId val="628994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520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Most Popular Routes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DASHBOARD!$B$75:$B$76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DASHBOARD!$A$77:$A$81</c:f>
            </c:strRef>
          </c:cat>
          <c:val>
            <c:numRef>
              <c:f>DASHBOARD!$B$77:$B$81</c:f>
              <c:numCache/>
            </c:numRef>
          </c:val>
        </c:ser>
        <c:axId val="1732017148"/>
        <c:axId val="858310887"/>
      </c:barChart>
      <c:catAx>
        <c:axId val="1732017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310887"/>
      </c:catAx>
      <c:valAx>
        <c:axId val="858310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017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DASHBOARD!$B$91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DASHBOARD!$A$92:$A$97</c:f>
            </c:strRef>
          </c:cat>
          <c:val>
            <c:numRef>
              <c:f>DASHBOARD!$B$92:$B$97</c:f>
              <c:numCache/>
            </c:numRef>
          </c:val>
        </c:ser>
        <c:ser>
          <c:idx val="1"/>
          <c:order val="1"/>
          <c:tx>
            <c:strRef>
              <c:f>DASHBOARD!$C$91</c:f>
            </c:strRef>
          </c:tx>
          <c:cat>
            <c:strRef>
              <c:f>DASHBOARD!$A$92:$A$97</c:f>
            </c:strRef>
          </c:cat>
          <c:val>
            <c:numRef>
              <c:f>DASHBOARD!$C$92:$C$97</c:f>
              <c:numCache/>
            </c:numRef>
          </c:val>
        </c:ser>
        <c:axId val="621848974"/>
        <c:axId val="115990930"/>
      </c:barChart>
      <c:catAx>
        <c:axId val="621848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90930"/>
      </c:catAx>
      <c:valAx>
        <c:axId val="115990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848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DASHBOARD!$A$15:$A$37</c:f>
            </c:strRef>
          </c:cat>
          <c:val>
            <c:numRef>
              <c:f>DASHBOARD!$B$15:$B$37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DASHBOARD!$A$15:$A$37</c:f>
            </c:strRef>
          </c:cat>
          <c:val>
            <c:numRef>
              <c:f>DASHBOARD!$C$15:$C$37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DASHBOARD!$A$15:$A$37</c:f>
            </c:strRef>
          </c:cat>
          <c:val>
            <c:numRef>
              <c:f>DASHBOARD!$C$15:$C$37</c:f>
              <c:numCache/>
            </c:numRef>
          </c:val>
        </c:ser>
        <c:overlap val="100"/>
        <c:axId val="1727253566"/>
        <c:axId val="272560761"/>
      </c:barChart>
      <c:catAx>
        <c:axId val="1727253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560761"/>
      </c:catAx>
      <c:valAx>
        <c:axId val="272560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p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253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 of Fare Difference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DASHBOARD!$B$42</c:f>
            </c:strRef>
          </c:tx>
          <c:dPt>
            <c:idx val="0"/>
            <c:spPr>
              <a:solidFill>
                <a:srgbClr val="C9DAF8"/>
              </a:solidFill>
            </c:spPr>
          </c:dPt>
          <c:dPt>
            <c:idx val="1"/>
            <c:spPr>
              <a:solidFill>
                <a:srgbClr val="9FC5E8"/>
              </a:solidFill>
            </c:spPr>
          </c:dPt>
          <c:dPt>
            <c:idx val="2"/>
            <c:spPr>
              <a:solidFill>
                <a:srgbClr val="D0E0E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DASHBOARD!$A$43:$A$45</c:f>
            </c:strRef>
          </c:cat>
          <c:val>
            <c:numRef>
              <c:f>DASHBOARD!$B$43:$B$45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 Rate by Airline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DASHBOARD!$A$116:$A$120</c:f>
            </c:strRef>
          </c:cat>
          <c:val>
            <c:numRef>
              <c:f>DASHBOARD!$B$116:$B$120</c:f>
              <c:numCache/>
            </c:numRef>
          </c:val>
        </c:ser>
        <c:ser>
          <c:idx val="1"/>
          <c:order val="1"/>
          <c:tx>
            <c:strRef>
              <c:f>DASHBOARD!$C$115</c:f>
            </c:strRef>
          </c:tx>
          <c:cat>
            <c:strRef>
              <c:f>DASHBOARD!$A$116:$A$120</c:f>
            </c:strRef>
          </c:cat>
          <c:val>
            <c:numRef>
              <c:f>DASHBOARD!$C$116:$C$120</c:f>
              <c:numCache/>
            </c:numRef>
          </c:val>
        </c:ser>
        <c:axId val="679243715"/>
        <c:axId val="1069563638"/>
      </c:barChart>
      <c:catAx>
        <c:axId val="67924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563638"/>
      </c:catAx>
      <c:valAx>
        <c:axId val="1069563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243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 Rate by Route 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DASHBOARD!$A$125:$A$129</c:f>
            </c:strRef>
          </c:cat>
          <c:val>
            <c:numRef>
              <c:f>DASHBOARD!$B$125:$B$129</c:f>
              <c:numCache/>
            </c:numRef>
          </c:val>
        </c:ser>
        <c:ser>
          <c:idx val="1"/>
          <c:order val="1"/>
          <c:tx>
            <c:strRef>
              <c:f>DASHBOARD!$C$124</c:f>
            </c:strRef>
          </c:tx>
          <c:cat>
            <c:strRef>
              <c:f>DASHBOARD!$A$125:$A$129</c:f>
            </c:strRef>
          </c:cat>
          <c:val>
            <c:numRef>
              <c:f>DASHBOARD!$C$125:$C$129</c:f>
              <c:numCache/>
            </c:numRef>
          </c:val>
        </c:ser>
        <c:axId val="1271428122"/>
        <c:axId val="1468606565"/>
      </c:barChart>
      <c:catAx>
        <c:axId val="1271428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606565"/>
      </c:catAx>
      <c:valAx>
        <c:axId val="1468606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428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 Impact (Rp)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DASHBOARD!$B$140</c:f>
            </c:strRef>
          </c:tx>
          <c:dPt>
            <c:idx val="0"/>
            <c:spPr>
              <a:solidFill>
                <a:srgbClr val="A2C4C9"/>
              </a:solidFill>
            </c:spPr>
          </c:dPt>
          <c:dPt>
            <c:idx val="1"/>
            <c:spPr>
              <a:solidFill>
                <a:srgbClr val="D0E0E3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Pt>
            <c:idx val="3"/>
            <c:spPr>
              <a:solidFill>
                <a:srgbClr val="D9D2E9"/>
              </a:solidFill>
            </c:spPr>
          </c:dPt>
          <c:dPt>
            <c:idx val="4"/>
            <c:spPr>
              <a:solidFill>
                <a:srgbClr val="CFE2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DASHBOARD!$A$141:$A$145</c:f>
            </c:strRef>
          </c:cat>
          <c:val>
            <c:numRef>
              <c:f>DASHBOARD!$B$141:$B$145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Most Popular Routes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DASHBOARD!$B$91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DASHBOARD!$A$92:$A$97</c:f>
            </c:strRef>
          </c:cat>
          <c:val>
            <c:numRef>
              <c:f>DASHBOARD!$B$92:$B$97</c:f>
              <c:numCache/>
            </c:numRef>
          </c:val>
        </c:ser>
        <c:overlap val="100"/>
        <c:axId val="1363944190"/>
        <c:axId val="747976496"/>
      </c:barChart>
      <c:catAx>
        <c:axId val="1363944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976496"/>
      </c:catAx>
      <c:valAx>
        <c:axId val="74797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944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3</xdr:row>
      <xdr:rowOff>171450</xdr:rowOff>
    </xdr:from>
    <xdr:ext cx="2619375" cy="1619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428625</xdr:colOff>
      <xdr:row>46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838200</xdr:colOff>
      <xdr:row>64</xdr:row>
      <xdr:rowOff>28575</xdr:rowOff>
    </xdr:from>
    <xdr:ext cx="3133725" cy="1943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64</xdr:row>
      <xdr:rowOff>28575</xdr:rowOff>
    </xdr:from>
    <xdr:ext cx="4495800" cy="2800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1143000</xdr:colOff>
      <xdr:row>64</xdr:row>
      <xdr:rowOff>28575</xdr:rowOff>
    </xdr:from>
    <xdr:ext cx="4200525" cy="2600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809625</xdr:colOff>
      <xdr:row>20</xdr:row>
      <xdr:rowOff>57150</xdr:rowOff>
    </xdr:from>
    <xdr:ext cx="5610225" cy="34861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304800</xdr:colOff>
      <xdr:row>36</xdr:row>
      <xdr:rowOff>171450</xdr:rowOff>
    </xdr:from>
    <xdr:ext cx="3181350" cy="1943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</xdr:col>
      <xdr:colOff>447675</xdr:colOff>
      <xdr:row>111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1162050</xdr:colOff>
      <xdr:row>128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146</xdr:row>
      <xdr:rowOff>0</xdr:rowOff>
    </xdr:from>
    <xdr:ext cx="4686300" cy="2905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1133475</xdr:colOff>
      <xdr:row>88</xdr:row>
      <xdr:rowOff>9525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51" sheet="DATASET EDIT"/>
  </cacheSource>
  <cacheFields>
    <cacheField name="BOOKING NUMBER " numFmtId="0">
      <sharedItems>
        <s v="1394729381"/>
        <s v="1360743921"/>
        <s v="1324193207"/>
        <s v="1343650044"/>
        <s v="1329726387"/>
        <s v="1385334759"/>
        <s v="1351860028"/>
        <s v="1324359029"/>
        <s v="1382513538"/>
        <s v="1321455662"/>
        <s v="1317152879"/>
        <s v="1397026610"/>
        <s v="1338081361"/>
        <s v="1358698944"/>
        <s v="1300891981"/>
        <s v="1326337048"/>
        <s v="1388632447"/>
        <s v="1333169058"/>
        <s v="1307339235"/>
        <s v="1347312510"/>
        <s v="1392305195"/>
        <s v="1320028258"/>
        <s v="1342088030"/>
        <s v="1335356427"/>
        <s v="1382489328"/>
        <s v="1353069083"/>
        <s v="1316492337"/>
        <s v="1303599888"/>
        <s v="1339711290"/>
        <s v="1393081873"/>
        <s v="1390857469"/>
        <s v="1399954014"/>
        <s v="1379962255"/>
        <s v="1315711293"/>
        <s v="1355821724"/>
        <s v="1383009548"/>
        <s v="1370860908"/>
        <s v="1379046614"/>
        <s v="1304190362"/>
        <s v="1353288185"/>
        <s v="1360187784"/>
        <s v="1361366264"/>
        <s v="1363940235"/>
        <s v="1304338427"/>
        <s v="1390097408"/>
        <s v="1330257995"/>
        <s v="1347195496"/>
        <s v="1336782057"/>
        <s v="1374709064"/>
        <s v="1315761736"/>
        <s v="1319681872"/>
        <s v="1347655573"/>
        <s v="1338796524"/>
        <s v="1312233010"/>
        <s v="1310498920"/>
        <s v="1367254245"/>
        <s v="1350941591"/>
        <s v="1326300593"/>
        <s v="1363006822"/>
        <s v="1366174708"/>
        <s v="1335785870"/>
        <s v="1321592819"/>
        <s v="1374206227"/>
        <s v="1396365288"/>
        <s v="1316909702"/>
        <s v="1384832786"/>
        <s v="1382196745"/>
        <s v="1361731557"/>
        <s v="1324386715"/>
        <s v="1352453448"/>
        <s v="1339131655"/>
        <s v="1336207881"/>
        <s v="1399206967"/>
        <s v="1392059356"/>
        <s v="1350543497"/>
        <s v="1360194011"/>
        <s v="1340531240"/>
        <s v="1328862651"/>
        <s v="1370997187"/>
        <s v="1349869029"/>
        <s v="1371133540"/>
        <s v="1343646633"/>
        <s v="1320734366"/>
        <s v="1348133293"/>
        <s v="1341408328"/>
        <s v="1345861014"/>
        <s v="1328304715"/>
        <s v="1330792242"/>
        <s v="1352963696"/>
        <s v="1343128800"/>
        <s v="1310136969"/>
        <s v="1357084242"/>
        <s v="1359091055"/>
        <s v="1386745463"/>
        <s v="1369584459"/>
        <s v="1319767925"/>
        <s v="1391296566"/>
        <s v="1371676881"/>
        <s v="1335186950"/>
        <s v="1306722794"/>
        <s v="1368598998"/>
        <s v="1309113296"/>
        <s v="1360722701"/>
        <s v="1333380032"/>
        <s v="1369443278"/>
        <s v="1369812327"/>
        <s v="1378081551"/>
        <s v="1343288889"/>
        <s v="1384848484"/>
        <s v="1317264844"/>
        <s v="1328072009"/>
        <s v="1302737181"/>
        <s v="1325803602"/>
        <s v="1311143302"/>
        <s v="1393982256"/>
        <s v="1334582796"/>
        <s v="1327943891"/>
        <s v="1363542910"/>
        <s v="1328047051"/>
        <s v="1346316297"/>
        <s v="1382185201"/>
        <s v="1373201798"/>
        <s v="1391929561"/>
        <s v="1307863104"/>
        <s v="1321263158"/>
        <s v="1346187102"/>
        <s v="1328909128"/>
        <s v="1325746924"/>
        <s v="1309018651"/>
        <s v="1335459711"/>
        <s v="1347673057"/>
        <s v="1341974413"/>
        <s v="1311790580"/>
        <s v="1396281167"/>
        <s v="1325442553"/>
        <s v="1358364357"/>
        <s v="1379421338"/>
        <s v="1359601985"/>
        <s v="1331619887"/>
        <s v="1350032903"/>
        <s v="1327150084"/>
        <s v="1371371488"/>
        <s v="1332226004"/>
        <s v="1385359678"/>
        <s v="1389063345"/>
        <s v="1332134970"/>
        <s v="1360104759"/>
        <s v="1313997893"/>
        <s v="1308792026"/>
        <s v="1398334839"/>
        <s v="1326201971"/>
        <s v="1319354851"/>
        <s v="1343788476"/>
        <s v="1374408117"/>
        <s v="1303184623"/>
        <s v="1357457496"/>
        <s v="1385786712"/>
        <s v="1333073531"/>
        <s v="1334247423"/>
        <s v="1320230986"/>
        <s v="1341943533"/>
        <s v="1350127107"/>
        <s v="1307161109"/>
        <s v="1367956520"/>
        <s v="1378677705"/>
        <s v="1329616079"/>
        <s v="1386448813"/>
        <s v="1373037910"/>
        <s v="1303368963"/>
        <s v="1325436583"/>
        <s v="1315033885"/>
        <s v="1305194737"/>
        <s v="1347848105"/>
        <s v="1336201514"/>
        <s v="1380784579"/>
        <s v="1366813145"/>
        <s v="1322004004"/>
        <s v="1361650573"/>
        <s v="1393088059"/>
        <s v="1356423622"/>
        <s v="1325852849"/>
        <s v="1360925453"/>
        <s v="1329918205"/>
        <s v="1398138454"/>
        <s v="1344059481"/>
        <s v="1345708745"/>
        <s v="1396818712"/>
        <s v="1325369715"/>
        <s v="1398170252"/>
        <s v="1374526071"/>
        <s v="1385805032"/>
        <s v="1348262054"/>
        <s v="1398711316"/>
        <s v="1388436618"/>
        <s v="1334395741"/>
        <s v="1366012716"/>
        <s v="1321825812"/>
        <s v="1342888088"/>
        <s v="1362815904"/>
        <s v="1307614615"/>
        <s v="1333267950"/>
        <s v="1345687862"/>
        <s v="1310872102"/>
        <s v="1397546444"/>
        <s v="1396341498"/>
        <s v="1306842899"/>
        <s v="1305080777"/>
        <s v="1346547210"/>
        <s v="1329764752"/>
        <s v="1342446785"/>
        <s v="1361338575"/>
        <s v="1361850775"/>
        <s v="1326463567"/>
        <s v="1351842967"/>
        <s v="1368755438"/>
        <s v="1356119288"/>
        <s v="1304938549"/>
        <s v="1304969168"/>
        <s v="1306228197"/>
        <s v="1309802703"/>
        <s v="1341122098"/>
        <s v="1335088611"/>
        <s v="1314914436"/>
        <s v="1307764825"/>
        <s v="1320535423"/>
        <s v="1331039545"/>
        <s v="1386973483"/>
        <s v="1327754620"/>
        <s v="1358075319"/>
        <s v="1362685323"/>
        <s v="1333773356"/>
        <s v="1305664795"/>
        <s v="1355904867"/>
        <s v="1353423061"/>
        <s v="1365219546"/>
        <s v="1340507980"/>
        <s v="1308691893"/>
        <s v="1334409699"/>
        <s v="1345943579"/>
        <s v="1330654041"/>
        <s v="1319833465"/>
        <s v="1376590044"/>
        <s v="1393796256"/>
        <s v="1352110432"/>
        <s v="1362324253"/>
        <s v="1398662179"/>
        <s v="1351422613"/>
        <s v="1399490698"/>
        <s v="1303571172"/>
        <s v="1391791403"/>
        <s v="1392652546"/>
        <s v="1310804566"/>
        <s v="1314726130"/>
        <s v="1385184633"/>
        <s v="1322023173"/>
        <s v="1388316307"/>
        <s v="1302003380"/>
        <s v="1300562977"/>
        <s v="1387956019"/>
        <s v="1309456400"/>
        <s v="1329967401"/>
        <s v="1308121006"/>
        <s v="1357944083"/>
        <s v="1394134707"/>
        <s v="1354921821"/>
        <s v="1301736970"/>
        <s v="1397560959"/>
        <s v="1357791741"/>
        <s v="1350299376"/>
        <s v="1356999076"/>
        <s v="1354186160"/>
        <s v="1333137860"/>
        <s v="1385347506"/>
        <s v="1322038591"/>
        <s v="1371047850"/>
        <s v="1387768488"/>
        <s v="1313423634"/>
        <s v="1318211500"/>
        <s v="1347516192"/>
        <s v="1399706733"/>
        <s v="1336858773"/>
        <s v="1395346016"/>
        <s v="1317537594"/>
        <s v="1378413113"/>
        <s v="1341617580"/>
        <s v="1394574236"/>
        <s v="1339682138"/>
        <s v="1334915333"/>
        <s v="1336877592"/>
        <s v="1320691815"/>
        <s v="1379483487"/>
        <s v="1311449317"/>
        <s v="1392169781"/>
        <s v="1315540494"/>
        <s v="1317582671"/>
        <s v="1378366065"/>
        <s v="1337867246"/>
        <s v="1354083953"/>
        <s v="1335644095"/>
        <s v="1394047080"/>
        <s v="1383578262"/>
        <s v="1355648330"/>
        <s v="1316094195"/>
        <s v="1302184489"/>
        <s v="1313394516"/>
        <s v="1314224501"/>
        <s v="1341440196"/>
        <s v="1310020189"/>
        <s v="1336964867"/>
        <s v="1303779991"/>
        <s v="1394258449"/>
        <s v="1351001660"/>
        <s v="1311009489"/>
        <s v="1307204171"/>
        <s v="1339898844"/>
        <s v="1385800388"/>
        <s v="1397158804"/>
        <s v="1350811181"/>
        <s v="1320533848"/>
        <s v="1336752091"/>
        <s v="1388896126"/>
        <s v="1300250810"/>
        <s v="1301387742"/>
        <s v="1382516233"/>
        <s v="1322902495"/>
        <s v="1388228315"/>
        <s v="1387813655"/>
        <s v="1362115577"/>
        <s v="1388246686"/>
        <s v="1399609974"/>
        <s v="1375343012"/>
        <s v="1350504854"/>
        <s v="1360632891"/>
        <s v="1335291936"/>
        <s v="1303914120"/>
        <s v="1371430878"/>
        <s v="1318313187"/>
        <s v="1312635705"/>
        <s v="1362193497"/>
        <s v="1307584660"/>
        <s v="1341291322"/>
        <s v="1337324395"/>
        <s v="1328235747"/>
        <s v="1352909509"/>
        <s v="1356088965"/>
        <s v="1399169646"/>
        <s v="1338684725"/>
        <s v="1327417189"/>
        <s v="1364615064"/>
        <s v="1302699913"/>
        <s v="1350300735"/>
        <s v="1340977671"/>
        <s v="1387573490"/>
        <s v="1342286588"/>
        <s v="1394805658"/>
        <s v="1349286167"/>
        <s v="1360363692"/>
        <s v="1371115179"/>
        <s v="1330869793"/>
        <s v="1392574477"/>
        <s v="1342573570"/>
        <s v="1393484634"/>
        <s v="1365521344"/>
        <s v="1345621948"/>
        <s v="1340933398"/>
        <s v="1330718570"/>
        <s v="1351341430"/>
        <s v="1336234626"/>
        <s v="1399994045"/>
        <s v="1372398035"/>
        <s v="1365514605"/>
        <s v="1308599438"/>
        <s v="1384812365"/>
        <s v="1326676158"/>
        <s v="1342136823"/>
        <s v="1317783603"/>
        <s v="1365571117"/>
        <s v="1326110870"/>
        <s v="1360139889"/>
        <s v="1342137616"/>
        <s v="1315330315"/>
        <s v="1328752597"/>
        <s v="1385773418"/>
        <s v="1391473576"/>
        <s v="1349001425"/>
        <s v="1378149684"/>
        <s v="1330792386"/>
        <s v="1370628807"/>
        <s v="1364155398"/>
        <s v="1350485029"/>
        <s v="1315330365"/>
        <s v="1330388056"/>
        <s v="1392420002"/>
        <s v="1322233201"/>
        <s v="1317895579"/>
        <s v="1300725806"/>
        <s v="1333991503"/>
        <s v="1337528140"/>
        <s v="1354008945"/>
        <s v="1354943526"/>
        <s v="1327180229"/>
        <s v="1340857238"/>
        <s v="1349710306"/>
        <s v="1397515001"/>
        <s v="1399929132"/>
        <s v="1367748473"/>
        <s v="1366491064"/>
        <s v="1303316084"/>
        <s v="1360888925"/>
        <s v="1353792961"/>
        <s v="1390168492"/>
        <s v="1361403591"/>
        <s v="1313902983"/>
        <s v="1330646143"/>
        <s v="1317798993"/>
        <s v="1392621267"/>
        <s v="1321649669"/>
        <s v="1326576579"/>
        <s v="1363934661"/>
        <s v="1317049052"/>
        <s v="1301709312"/>
        <s v="1378682065"/>
        <s v="1360359443"/>
        <s v="1344675192"/>
        <s v="1311467535"/>
        <s v="1394068646"/>
        <s v="1341898354"/>
        <s v="1350658960"/>
        <s v="1367036281"/>
        <s v="1368088820"/>
        <s v="1394975103"/>
        <s v="1375165097"/>
        <s v="1345768280"/>
        <s v="1379161029"/>
        <s v="1395300591"/>
        <s v="1356989301"/>
        <s v="1341960325"/>
        <s v="1331743303"/>
        <s v="1376406790"/>
        <s v="1370057444"/>
        <s v="1380985209"/>
        <s v="1311709743"/>
        <s v="1351697466"/>
        <s v="1382369394"/>
        <s v="1348361741"/>
        <s v="1351679247"/>
        <s v="1359269310"/>
        <s v="1398071695"/>
        <s v="1357166754"/>
        <s v="1377771722"/>
        <s v="1310964055"/>
        <s v="1375081545"/>
        <s v="1359712576"/>
        <s v="1323817772"/>
        <s v="1304944164"/>
        <s v="1333047878"/>
        <s v="1307557951"/>
        <s v="1354223662"/>
        <s v="1304541723"/>
        <s v="1379423569"/>
        <s v="1377689953"/>
        <s v="1332494081"/>
        <s v="1395212231"/>
        <s v="1385036097"/>
        <s v="1312108911"/>
        <s v="1308841100"/>
        <s v="1306131944"/>
        <s v="1334782297"/>
        <s v="1363067975"/>
        <s v="1377358417"/>
        <s v="1323309535"/>
        <s v="1363936062"/>
        <s v="1396863415"/>
        <s v="1370915794"/>
        <s v="1327039806"/>
        <s v="1366046189"/>
        <s v="1385341304"/>
        <s v="1320229410"/>
        <s v="1358109250"/>
        <s v="1324514817"/>
        <s v="1306180773"/>
        <s v="1302489559"/>
        <s v="1354370289"/>
        <s v="1376685190"/>
        <s v="1380533561"/>
        <s v="1344477957"/>
        <s v="1302133032"/>
        <s v="1366630760"/>
        <s v="1399744054"/>
        <s v="1325282709"/>
        <s v="1315280446"/>
        <s v="1380825940"/>
        <s v="1331643666"/>
        <s v="1344519720"/>
        <s v="1389094842"/>
        <s v="1389492075"/>
        <s v="1351307797"/>
        <s v="1383395172"/>
        <s v="1375490630"/>
        <s v="1335650481"/>
        <s v="1311183237"/>
        <s v="1387994416"/>
        <s v="1391680336"/>
        <s v="1323777732"/>
        <s v="1351138391"/>
        <s v="1346858461"/>
        <s v="1305257856"/>
        <s v="1360446566"/>
        <s v="1350258195"/>
        <s v="1318209984"/>
        <s v="1335265015"/>
        <s v="1390449153"/>
        <s v="1339100180"/>
        <s v="1386116584"/>
        <s v="1371014482"/>
        <s v="1353637702"/>
        <s v="1323647649"/>
        <s v="1389429778"/>
        <s v="1338274180"/>
        <s v="1360080662"/>
        <s v="1320340432"/>
        <s v="1372514034"/>
        <s v="1335875264"/>
        <s v="1344121071"/>
        <s v="1365333268"/>
        <s v="1352580891"/>
        <s v="1324887892"/>
        <s v="1311536889"/>
        <s v="1340526350"/>
        <s v="1384869004"/>
        <s v="1377215958"/>
        <s v="1338241417"/>
        <s v="1353932166"/>
        <s v="1333961770"/>
        <s v="1380793999"/>
        <s v="1313825196"/>
        <s v="1322587173"/>
        <s v="1327209903"/>
        <s v="1354526580"/>
        <s v="1348729057"/>
        <s v="1332486532"/>
        <s v="1374527187"/>
        <s v="1347692400"/>
        <s v="1379951287"/>
        <s v="1391914546"/>
        <s v="1387753343"/>
        <s v="1385742463"/>
        <s v="1316930123"/>
        <s v="1352063014"/>
        <s v="1322328771"/>
      </sharedItems>
    </cacheField>
    <cacheField name="DEPARTURE DATE" numFmtId="14">
      <sharedItems containsSemiMixedTypes="0" containsDate="1" containsString="0">
        <d v="2026-12-04T00:00:00Z"/>
        <d v="2026-08-22T00:00:00Z"/>
        <d v="2026-04-12T00:00:00Z"/>
        <d v="2026-05-06T00:00:00Z"/>
        <d v="2026-08-05T00:00:00Z"/>
        <d v="2026-02-26T00:00:00Z"/>
        <d v="2026-04-28T00:00:00Z"/>
        <d v="2026-09-18T00:00:00Z"/>
        <d v="2026-03-10T00:00:00Z"/>
        <d v="2026-12-28T00:00:00Z"/>
        <d v="2026-05-20T00:00:00Z"/>
        <d v="2026-12-24T00:00:00Z"/>
        <d v="2026-12-11T00:00:00Z"/>
        <d v="2026-03-18T00:00:00Z"/>
        <d v="2026-01-23T00:00:00Z"/>
        <d v="2026-05-26T00:00:00Z"/>
        <d v="2026-08-03T00:00:00Z"/>
        <d v="2026-03-16T00:00:00Z"/>
        <d v="2026-10-21T00:00:00Z"/>
        <d v="2026-10-05T00:00:00Z"/>
        <d v="2026-01-18T00:00:00Z"/>
        <d v="2026-05-14T00:00:00Z"/>
        <d v="2026-01-26T00:00:00Z"/>
        <d v="2026-02-21T00:00:00Z"/>
        <d v="2026-11-27T00:00:00Z"/>
        <d v="2026-04-27T00:00:00Z"/>
        <d v="2026-10-02T00:00:00Z"/>
        <d v="2026-03-01T00:00:00Z"/>
        <d v="2026-11-25T00:00:00Z"/>
        <d v="2026-06-05T00:00:00Z"/>
        <d v="2026-04-17T00:00:00Z"/>
        <d v="2026-09-15T00:00:00Z"/>
        <d v="2026-07-23T00:00:00Z"/>
        <d v="2026-11-06T00:00:00Z"/>
        <d v="2026-11-20T00:00:00Z"/>
        <d v="2026-08-06T00:00:00Z"/>
        <d v="2026-08-12T00:00:00Z"/>
        <d v="2026-06-18T00:00:00Z"/>
        <d v="2026-04-01T00:00:00Z"/>
        <d v="2026-10-23T00:00:00Z"/>
        <d v="2026-09-17T00:00:00Z"/>
        <d v="2026-02-08T00:00:00Z"/>
        <d v="2026-07-06T00:00:00Z"/>
        <d v="2026-05-24T00:00:00Z"/>
        <d v="2026-07-26T00:00:00Z"/>
        <d v="2026-10-20T00:00:00Z"/>
        <d v="2026-08-02T00:00:00Z"/>
        <d v="2026-05-27T00:00:00Z"/>
        <d v="2026-08-26T00:00:00Z"/>
        <d v="2026-01-22T00:00:00Z"/>
        <d v="2026-05-28T00:00:00Z"/>
        <d v="2026-06-10T00:00:00Z"/>
        <d v="2026-06-11T00:00:00Z"/>
        <d v="2026-06-14T00:00:00Z"/>
        <d v="2026-12-25T00:00:00Z"/>
        <d v="2026-01-28T00:00:00Z"/>
        <d v="2026-10-06T00:00:00Z"/>
        <d v="2026-09-25T00:00:00Z"/>
        <d v="2026-09-19T00:00:00Z"/>
        <d v="2026-04-04T00:00:00Z"/>
        <d v="2026-04-11T00:00:00Z"/>
        <d v="2026-08-08T00:00:00Z"/>
        <d v="2026-08-13T00:00:00Z"/>
        <d v="2026-07-03T00:00:00Z"/>
        <d v="2026-09-11T00:00:00Z"/>
        <d v="2026-01-11T00:00:00Z"/>
        <d v="2026-09-02T00:00:00Z"/>
        <d v="2026-10-08T00:00:00Z"/>
        <d v="2026-04-09T00:00:00Z"/>
        <d v="2026-10-12T00:00:00Z"/>
        <d v="2026-02-02T00:00:00Z"/>
        <d v="2026-03-03T00:00:00Z"/>
        <d v="2026-07-13T00:00:00Z"/>
        <d v="2026-02-15T00:00:00Z"/>
        <d v="2026-08-10T00:00:00Z"/>
        <d v="2026-09-04T00:00:00Z"/>
        <d v="2026-12-23T00:00:00Z"/>
        <d v="2026-06-08T00:00:00Z"/>
        <d v="2026-12-06T00:00:00Z"/>
        <d v="2026-02-11T00:00:00Z"/>
        <d v="2026-02-13T00:00:00Z"/>
        <d v="2026-10-04T00:00:00Z"/>
        <d v="2026-07-22T00:00:00Z"/>
        <d v="2026-11-07T00:00:00Z"/>
        <d v="2026-08-14T00:00:00Z"/>
        <d v="2026-09-28T00:00:00Z"/>
        <d v="2026-07-10T00:00:00Z"/>
        <d v="2026-11-23T00:00:00Z"/>
        <d v="2026-05-03T00:00:00Z"/>
        <d v="2026-04-24T00:00:00Z"/>
        <d v="2026-05-01T00:00:00Z"/>
        <d v="2026-04-06T00:00:00Z"/>
        <d v="2026-11-26T00:00:00Z"/>
        <d v="2026-11-15T00:00:00Z"/>
        <d v="2026-11-13T00:00:00Z"/>
        <d v="2026-03-27T00:00:00Z"/>
        <d v="2026-06-24T00:00:00Z"/>
        <d v="2026-03-23T00:00:00Z"/>
        <d v="2026-09-13T00:00:00Z"/>
        <d v="2026-04-22T00:00:00Z"/>
        <d v="2026-09-26T00:00:00Z"/>
        <d v="2026-01-07T00:00:00Z"/>
        <d v="2026-04-16T00:00:00Z"/>
        <d v="2026-11-14T00:00:00Z"/>
        <d v="2026-03-17T00:00:00Z"/>
        <d v="2026-05-17T00:00:00Z"/>
        <d v="2026-11-12T00:00:00Z"/>
        <d v="2026-12-02T00:00:00Z"/>
        <d v="2026-09-08T00:00:00Z"/>
        <d v="2026-08-07T00:00:00Z"/>
        <d v="2026-01-16T00:00:00Z"/>
        <d v="2026-11-03T00:00:00Z"/>
        <d v="2026-07-18T00:00:00Z"/>
        <d v="2026-08-23T00:00:00Z"/>
        <d v="2026-12-01T00:00:00Z"/>
        <d v="2026-02-17T00:00:00Z"/>
        <d v="2026-07-05T00:00:00Z"/>
        <d v="2026-12-21T00:00:00Z"/>
        <d v="2026-07-19T00:00:00Z"/>
        <d v="2026-11-18T00:00:00Z"/>
        <d v="2026-12-03T00:00:00Z"/>
        <d v="2026-05-21T00:00:00Z"/>
        <d v="2026-08-17T00:00:00Z"/>
        <d v="2026-06-12T00:00:00Z"/>
        <d v="2026-10-09T00:00:00Z"/>
        <d v="2026-04-03T00:00:00Z"/>
        <d v="2026-11-01T00:00:00Z"/>
        <d v="2026-05-25T00:00:00Z"/>
        <d v="2026-01-10T00:00:00Z"/>
        <d v="2026-09-23T00:00:00Z"/>
        <d v="2026-01-08T00:00:00Z"/>
        <d v="2026-12-18T00:00:00Z"/>
        <d v="2026-07-07T00:00:00Z"/>
        <d v="2026-05-07T00:00:00Z"/>
        <d v="2026-12-17T00:00:00Z"/>
        <d v="2026-10-07T00:00:00Z"/>
        <d v="2026-09-01T00:00:00Z"/>
        <d v="2026-08-25T00:00:00Z"/>
        <d v="2026-11-22T00:00:00Z"/>
        <d v="2026-04-05T00:00:00Z"/>
        <d v="2026-08-20T00:00:00Z"/>
        <d v="2026-06-22T00:00:00Z"/>
        <d v="2026-09-20T00:00:00Z"/>
        <d v="2026-07-09T00:00:00Z"/>
        <d v="2026-11-04T00:00:00Z"/>
        <d v="2026-01-13T00:00:00Z"/>
        <d v="2026-03-08T00:00:00Z"/>
        <d v="2026-03-02T00:00:00Z"/>
        <d v="2026-12-15T00:00:00Z"/>
        <d v="2026-06-02T00:00:00Z"/>
        <d v="2026-01-25T00:00:00Z"/>
        <d v="2026-02-04T00:00:00Z"/>
        <d v="2026-05-18T00:00:00Z"/>
        <d v="2026-03-28T00:00:00Z"/>
        <d v="2026-01-03T00:00:00Z"/>
        <d v="2026-09-22T00:00:00Z"/>
        <d v="2026-02-20T00:00:00Z"/>
        <d v="2026-01-12T00:00:00Z"/>
        <d v="2026-11-24T00:00:00Z"/>
        <d v="2026-06-15T00:00:00Z"/>
        <d v="2026-10-11T00:00:00Z"/>
        <d v="2026-04-14T00:00:00Z"/>
        <d v="2026-11-21T00:00:00Z"/>
        <d v="2026-01-20T00:00:00Z"/>
        <d v="2026-09-10T00:00:00Z"/>
        <d v="2026-07-25T00:00:00Z"/>
        <d v="2026-11-17T00:00:00Z"/>
        <d v="2026-12-09T00:00:00Z"/>
        <d v="2026-06-23T00:00:00Z"/>
        <d v="2026-08-11T00:00:00Z"/>
        <d v="2026-02-05T00:00:00Z"/>
        <d v="2026-12-10T00:00:00Z"/>
        <d v="2026-08-09T00:00:00Z"/>
        <d v="2026-12-19T00:00:00Z"/>
        <d v="2026-03-13T00:00:00Z"/>
        <d v="2026-11-28T00:00:00Z"/>
        <d v="2026-03-20T00:00:00Z"/>
        <d v="2026-02-19T00:00:00Z"/>
        <d v="2026-04-23T00:00:00Z"/>
        <d v="2026-09-14T00:00:00Z"/>
        <d v="2026-03-15T00:00:00Z"/>
        <d v="2026-01-04T00:00:00Z"/>
        <d v="2026-05-04T00:00:00Z"/>
        <d v="2026-04-26T00:00:00Z"/>
        <d v="2026-09-24T00:00:00Z"/>
        <d v="2026-03-06T00:00:00Z"/>
        <d v="2026-08-18T00:00:00Z"/>
        <d v="2026-01-19T00:00:00Z"/>
        <d v="2026-04-13T00:00:00Z"/>
        <d v="2026-05-09T00:00:00Z"/>
        <d v="2026-05-22T00:00:00Z"/>
        <d v="2026-06-25T00:00:00Z"/>
        <d v="2026-02-23T00:00:00Z"/>
        <d v="2026-11-10T00:00:00Z"/>
        <d v="2026-08-19T00:00:00Z"/>
        <d v="2026-02-25T00:00:00Z"/>
        <d v="2026-10-10T00:00:00Z"/>
        <d v="2026-11-16T00:00:00Z"/>
        <d v="2026-09-07T00:00:00Z"/>
        <d v="2026-05-15T00:00:00Z"/>
        <d v="2026-02-27T00:00:00Z"/>
        <d v="2026-12-14T00:00:00Z"/>
        <d v="2026-12-22T00:00:00Z"/>
        <d v="2026-06-03T00:00:00Z"/>
        <d v="2026-06-13T00:00:00Z"/>
        <d v="2026-06-04T00:00:00Z"/>
        <d v="2026-01-02T00:00:00Z"/>
        <d v="2026-04-10T00:00:00Z"/>
        <d v="2026-08-04T00:00:00Z"/>
        <d v="2026-12-20T00:00:00Z"/>
        <d v="2026-03-04T00:00:00Z"/>
        <d v="2026-11-08T00:00:00Z"/>
        <d v="2026-03-21T00:00:00Z"/>
        <d v="2026-03-25T00:00:00Z"/>
        <d v="2026-04-18T00:00:00Z"/>
        <d v="2026-04-07T00:00:00Z"/>
        <d v="2026-10-27T00:00:00Z"/>
        <d v="2026-09-05T00:00:00Z"/>
        <d v="2026-10-26T00:00:00Z"/>
        <d v="2026-05-23T00:00:00Z"/>
        <d v="2026-01-21T00:00:00Z"/>
        <d v="2026-10-16T00:00:00Z"/>
        <d v="2026-08-01T00:00:00Z"/>
        <d v="2026-03-12T00:00:00Z"/>
        <d v="2026-12-27T00:00:00Z"/>
        <d v="2026-08-24T00:00:00Z"/>
        <d v="2026-04-08T00:00:00Z"/>
        <d v="2026-08-15T00:00:00Z"/>
        <d v="2026-12-12T00:00:00Z"/>
        <d v="2026-05-05T00:00:00Z"/>
        <d v="2026-01-14T00:00:00Z"/>
        <d v="2026-10-28T00:00:00Z"/>
        <d v="2026-06-01T00:00:00Z"/>
        <d v="2026-09-09T00:00:00Z"/>
        <d v="2026-07-08T00:00:00Z"/>
        <d v="2026-01-24T00:00:00Z"/>
        <d v="2026-11-09T00:00:00Z"/>
        <d v="2026-08-27T00:00:00Z"/>
        <d v="2026-10-01T00:00:00Z"/>
        <d v="2026-06-19T00:00:00Z"/>
        <d v="2026-10-18T00:00:00Z"/>
        <d v="2026-09-16T00:00:00Z"/>
        <d v="2026-07-12T00:00:00Z"/>
        <d v="2026-12-13T00:00:00Z"/>
        <d v="2026-11-05T00:00:00Z"/>
        <d v="2026-09-06T00:00:00Z"/>
        <d v="2026-06-21T00:00:00Z"/>
        <d v="2026-12-16T00:00:00Z"/>
        <d v="2026-05-19T00:00:00Z"/>
        <d v="2026-09-27T00:00:00Z"/>
        <d v="2026-10-22T00:00:00Z"/>
        <d v="2026-06-16T00:00:00Z"/>
        <d v="2026-04-25T00:00:00Z"/>
        <d v="2026-01-15T00:00:00Z"/>
        <d v="2026-03-24T00:00:00Z"/>
        <d v="2026-07-11T00:00:00Z"/>
        <d v="2026-03-14T00:00:00Z"/>
        <d v="2026-10-15T00:00:00Z"/>
        <d v="2026-05-10T00:00:00Z"/>
        <d v="2026-07-16T00:00:00Z"/>
        <d v="2026-11-02T00:00:00Z"/>
        <d v="2026-02-10T00:00:00Z"/>
        <d v="2026-10-03T00:00:00Z"/>
        <d v="2026-03-22T00:00:00Z"/>
        <d v="2026-06-28T00:00:00Z"/>
        <d v="2026-10-13T00:00:00Z"/>
        <d v="2026-03-11T00:00:00Z"/>
        <d v="2026-07-24T00:00:00Z"/>
        <d v="2026-06-09T00:00:00Z"/>
        <d v="2026-02-07T00:00:00Z"/>
        <d v="2026-04-19T00:00:00Z"/>
        <d v="2026-02-22T00:00:00Z"/>
        <d v="2026-04-15T00:00:00Z"/>
        <d v="2026-01-06T00:00:00Z"/>
        <d v="2026-05-08T00:00:00Z"/>
      </sharedItems>
    </cacheField>
    <cacheField name="MONTH TREND" numFmtId="14">
      <sharedItems>
        <s v="December"/>
        <s v="August"/>
        <s v="April"/>
        <s v="May"/>
        <s v="February"/>
        <s v="September"/>
        <s v="March"/>
        <s v="January"/>
        <s v="October"/>
        <s v="November"/>
        <s v="June"/>
        <s v="July"/>
      </sharedItems>
    </cacheField>
    <cacheField name="ROUTE " numFmtId="0">
      <sharedItems>
        <s v="TPE-MEL"/>
        <s v="DMK-CNX"/>
        <s v="SIN-CGK"/>
        <s v="CGK-DPS"/>
        <s v="SGN-HAN"/>
        <s v="SUB-SOQ"/>
      </sharedItems>
    </cacheField>
    <cacheField name="CLASIFICATION" numFmtId="0">
      <sharedItems>
        <s v="International"/>
        <s v="Domestic"/>
      </sharedItems>
    </cacheField>
    <cacheField name="AIRLINE" numFmtId="0">
      <sharedItems>
        <s v="AK"/>
        <s v="DD"/>
        <s v="JT"/>
        <s v="TR"/>
        <s v="VZ"/>
        <s v="QG"/>
        <s v="GA"/>
        <s v="ID"/>
        <s v="OD"/>
        <s v="VN"/>
        <s v="D7"/>
        <s v="VU"/>
        <s v="SL"/>
        <s v="VA"/>
        <s v="5J"/>
        <s v="KT"/>
        <s v="VJ"/>
        <s v="QZ"/>
        <s v="IW"/>
        <s v="SJ"/>
        <s v="IT"/>
        <s v="FD"/>
        <s v="Z2"/>
        <s v="GK"/>
        <s v="XJ"/>
      </sharedItems>
    </cacheField>
    <cacheField name="AIRLINE GROUPING" numFmtId="0">
      <sharedItems>
        <s v="AirAsia Group"/>
        <s v="Thai Airways Group (Associate)"/>
        <s v="Lion Air Group"/>
        <s v="Singapore Airlines Group"/>
        <s v="VietJet Group"/>
        <s v="Garuda Indonesia Group"/>
        <s v="Vietnam Airlines Group"/>
        <s v="Vietravel Group"/>
        <s v="Virgin Australia Group"/>
        <s v="JG Summit Holdings"/>
        <s v="Tata Group / Singapore Airlines"/>
        <s v="Sriwijaya Air Group"/>
        <s v="China Airlines Group"/>
        <s v="Qantas Group"/>
      </sharedItems>
    </cacheField>
    <cacheField name="INTIAL FARE" numFmtId="164">
      <sharedItems containsSemiMixedTypes="0" containsString="0" containsNumber="1" containsInteger="1">
        <n v="1155000.0"/>
        <n v="2034000.0"/>
        <n v="820000.0"/>
        <n v="1.3901E7"/>
        <n v="4195000.0"/>
        <n v="1635000.0"/>
        <n v="927000.0"/>
        <n v="1705000.0"/>
        <n v="1379000.0"/>
        <n v="9500000.0"/>
        <n v="8587000.0"/>
        <n v="7828000.0"/>
        <n v="918000.0"/>
        <n v="1541000.0"/>
        <n v="4797000.0"/>
        <n v="5512000.0"/>
        <n v="1765000.0"/>
        <n v="510000.0"/>
        <n v="1772000.0"/>
        <n v="877000.0"/>
        <n v="718000.0"/>
        <n v="1589000.0"/>
        <n v="725000.0"/>
        <n v="9682000.0"/>
        <n v="1171000.0"/>
        <n v="1415000.0"/>
        <n v="1005000.0"/>
        <n v="1.37E7"/>
        <n v="942000.0"/>
        <n v="584000.0"/>
        <n v="6214000.0"/>
        <n v="9097000.0"/>
        <n v="1224000.0"/>
        <n v="1952000.0"/>
        <n v="1757000.0"/>
        <n v="5314000.0"/>
        <n v="7835000.0"/>
        <n v="1209000.0"/>
        <n v="1003000.0"/>
        <n v="598000.0"/>
        <n v="814000.0"/>
        <n v="974000.0"/>
        <n v="1434000.0"/>
        <n v="763000.0"/>
        <n v="469000.0"/>
        <n v="7450000.0"/>
        <n v="7482000.0"/>
        <n v="1.0708E7"/>
        <n v="466000.0"/>
        <n v="1496000.0"/>
        <n v="1557000.0"/>
        <n v="462000.0"/>
        <n v="957000.0"/>
        <n v="1.3869E7"/>
        <n v="785000.0"/>
        <n v="1595000.0"/>
        <n v="1125000.0"/>
        <n v="2928000.0"/>
        <n v="7817000.0"/>
        <n v="6041000.0"/>
        <n v="1409000.0"/>
        <n v="3681000.0"/>
        <n v="1714000.0"/>
        <n v="978000.0"/>
        <n v="1.3296E7"/>
        <n v="5343000.0"/>
        <n v="1116000.0"/>
        <n v="1700000.0"/>
        <n v="919000.0"/>
        <n v="1674000.0"/>
        <n v="1692000.0"/>
        <n v="979000.0"/>
        <n v="1594000.0"/>
        <n v="1.2909E7"/>
        <n v="656000.0"/>
        <n v="771000.0"/>
        <n v="673000.0"/>
        <n v="1751000.0"/>
        <n v="747000.0"/>
        <n v="4217000.0"/>
        <n v="1276000.0"/>
        <n v="1330000.0"/>
        <n v="1531000.0"/>
        <n v="9059000.0"/>
        <n v="1120000.0"/>
        <n v="1689000.0"/>
        <n v="1089000.0"/>
        <n v="1091000.0"/>
        <n v="668000.0"/>
        <n v="2069000.0"/>
        <n v="1165000.0"/>
        <n v="1605000.0"/>
        <n v="1.4119E7"/>
        <n v="1034000.0"/>
        <n v="1358000.0"/>
        <n v="1697000.0"/>
        <n v="1293000.0"/>
        <n v="1742000.0"/>
        <n v="1569000.0"/>
        <n v="4334000.0"/>
        <n v="3642000.0"/>
        <n v="1096000.0"/>
        <n v="1176000.0"/>
        <n v="1578000.0"/>
        <n v="987000.0"/>
        <n v="1021000.0"/>
        <n v="786000.0"/>
        <n v="1374000.0"/>
        <n v="1467000.0"/>
        <n v="3950000.0"/>
        <n v="1894000.0"/>
        <n v="1673000.0"/>
        <n v="1.2729E7"/>
        <n v="976000.0"/>
        <n v="1749000.0"/>
        <n v="3368000.0"/>
        <n v="878000.0"/>
        <n v="685000.0"/>
        <n v="6565000.0"/>
        <n v="3111000.0"/>
        <n v="1388000.0"/>
        <n v="1059000.0"/>
        <n v="1308000.0"/>
        <n v="1.3865E7"/>
        <n v="483000.0"/>
        <n v="1485000.0"/>
        <n v="1776000.0"/>
        <n v="737000.0"/>
        <n v="730000.0"/>
        <n v="7013000.0"/>
        <n v="1484000.0"/>
        <n v="9546000.0"/>
        <n v="925000.0"/>
        <n v="1392000.0"/>
        <n v="1410000.0"/>
        <n v="1795000.0"/>
        <n v="5222000.0"/>
        <n v="742000.0"/>
        <n v="603000.0"/>
        <n v="996000.0"/>
        <n v="1286000.0"/>
        <n v="1577000.0"/>
        <n v="881000.0"/>
        <n v="585000.0"/>
        <n v="1243000.0"/>
        <n v="3528000.0"/>
        <n v="669000.0"/>
        <n v="5750000.0"/>
        <n v="1.3164E7"/>
        <n v="4557000.0"/>
        <n v="985000.0"/>
        <n v="8738000.0"/>
        <n v="887000.0"/>
        <n v="1123000.0"/>
        <n v="564000.0"/>
        <n v="3534000.0"/>
        <n v="1753000.0"/>
        <n v="526000.0"/>
        <n v="9487000.0"/>
        <n v="7012000.0"/>
        <n v="770000.0"/>
        <n v="1779000.0"/>
        <n v="1585000.0"/>
        <n v="9992000.0"/>
        <n v="1201000.0"/>
        <n v="537000.0"/>
        <n v="1771000.0"/>
        <n v="3657000.0"/>
        <n v="900000.0"/>
        <n v="1.4719E7"/>
        <n v="7483000.0"/>
        <n v="1582000.0"/>
        <n v="838000.0"/>
        <n v="2178000.0"/>
        <n v="1420000.0"/>
        <n v="3791000.0"/>
        <n v="1403000.0"/>
        <n v="1394000.0"/>
        <n v="1250000.0"/>
        <n v="5136000.0"/>
        <n v="574000.0"/>
        <n v="1418000.0"/>
        <n v="1.2459E7"/>
        <n v="1453000.0"/>
        <n v="791000.0"/>
        <n v="1580000.0"/>
        <n v="6622000.0"/>
        <n v="681000.0"/>
        <n v="1445000.0"/>
        <n v="705000.0"/>
        <n v="488000.0"/>
        <n v="1680000.0"/>
        <n v="1.2688E7"/>
        <n v="1774000.0"/>
        <n v="1534000.0"/>
        <n v="735000.0"/>
        <n v="1231000.0"/>
        <n v="1.3316E7"/>
        <n v="3236000.0"/>
        <n v="1461000.0"/>
        <n v="1076000.0"/>
        <n v="528000.0"/>
        <n v="1390000.0"/>
        <n v="514000.0"/>
        <n v="503000.0"/>
        <n v="1063000.0"/>
        <n v="3017000.0"/>
        <n v="4366000.0"/>
        <n v="1289000.0"/>
        <n v="1341000.0"/>
        <n v="849000.0"/>
        <n v="1.2022E7"/>
        <n v="500000.0"/>
        <n v="1785000.0"/>
        <n v="933000.0"/>
        <n v="9103000.0"/>
        <n v="1441000.0"/>
        <n v="951000.0"/>
        <n v="1017000.0"/>
        <n v="633000.0"/>
        <n v="1.0017E7"/>
        <n v="729000.0"/>
        <n v="551000.0"/>
        <n v="1720000.0"/>
        <n v="896000.0"/>
        <n v="1111000.0"/>
        <n v="1067000.0"/>
        <n v="916000.0"/>
        <n v="909000.0"/>
        <n v="1342000.0"/>
        <n v="9506000.0"/>
        <n v="1247000.0"/>
        <n v="1057000.0"/>
        <n v="1.2549E7"/>
        <n v="614000.0"/>
        <n v="1675000.0"/>
        <n v="833000.0"/>
        <n v="1642000.0"/>
        <n v="1573000.0"/>
        <n v="6517000.0"/>
        <n v="818000.0"/>
        <n v="1.2848E7"/>
        <n v="1070000.0"/>
        <n v="9776000.0"/>
        <n v="1328000.0"/>
        <n v="636000.0"/>
        <n v="1.298E7"/>
        <n v="555000.0"/>
        <n v="1488000.0"/>
        <n v="4518000.0"/>
        <n v="1.3357E7"/>
        <n v="1160000.0"/>
        <n v="6940000.0"/>
        <n v="2185000.0"/>
        <n v="1527000.0"/>
        <n v="1244000.0"/>
        <n v="6488000.0"/>
        <n v="513000.0"/>
        <n v="610000.0"/>
        <n v="1.444E7"/>
        <n v="2520000.0"/>
        <n v="789000.0"/>
        <n v="1745000.0"/>
        <n v="1312000.0"/>
        <n v="1511000.0"/>
        <n v="5498000.0"/>
        <n v="548000.0"/>
        <n v="1.0106E7"/>
        <n v="915000.0"/>
        <n v="904000.0"/>
        <n v="2422000.0"/>
        <n v="6860000.0"/>
        <n v="1150000.0"/>
        <n v="7995000.0"/>
        <n v="1715000.0"/>
        <n v="3486000.0"/>
        <n v="1722000.0"/>
        <n v="1226000.0"/>
        <n v="1385000.0"/>
        <n v="930000.0"/>
        <n v="1248000.0"/>
        <n v="1.0804E7"/>
        <n v="1.3867E7"/>
        <n v="1.3298E7"/>
        <n v="8599000.0"/>
        <n v="2901000.0"/>
        <n v="1142000.0"/>
        <n v="1.2674E7"/>
        <n v="622000.0"/>
        <n v="6007000.0"/>
        <n v="832000.0"/>
        <n v="7440000.0"/>
        <n v="8549000.0"/>
        <n v="1.3187E7"/>
        <n v="1.0743E7"/>
        <n v="1014000.0"/>
        <n v="697000.0"/>
        <n v="1.4512E7"/>
        <n v="4184000.0"/>
        <n v="1.4487E7"/>
        <n v="2781000.0"/>
        <n v="652000.0"/>
        <n v="1315000.0"/>
        <n v="1423000.0"/>
        <n v="6986000.0"/>
        <n v="1113000.0"/>
        <n v="1565000.0"/>
        <n v="1487000.0"/>
        <n v="4655000.0"/>
        <n v="1.0947E7"/>
        <n v="1620000.0"/>
        <n v="3844000.0"/>
        <n v="1.0481E7"/>
        <n v="1777000.0"/>
        <n v="2158000.0"/>
        <n v="959000.0"/>
        <n v="6891000.0"/>
        <n v="821000.0"/>
        <n v="751000.0"/>
        <n v="1.2389E7"/>
        <n v="549000.0"/>
        <n v="1301000.0"/>
        <n v="531000.0"/>
        <n v="1536000.0"/>
        <n v="1.1227E7"/>
        <n v="1.1734E7"/>
        <n v="1090000.0"/>
        <n v="1183000.0"/>
        <n v="1786000.0"/>
        <n v="1093000.0"/>
        <n v="2750000.0"/>
        <n v="1780000.0"/>
        <n v="8680000.0"/>
        <n v="675000.0"/>
        <n v="459000.0"/>
        <n v="1530000.0"/>
        <n v="883000.0"/>
        <n v="1616000.0"/>
        <n v="798000.0"/>
        <n v="1.1167E7"/>
        <n v="3337000.0"/>
        <n v="734000.0"/>
        <n v="1571000.0"/>
        <n v="565000.0"/>
        <n v="1662000.0"/>
        <n v="1.4566E7"/>
        <n v="1.4355E7"/>
        <n v="6779000.0"/>
        <n v="1735000.0"/>
        <n v="1221000.0"/>
        <n v="570000.0"/>
        <n v="1062000.0"/>
        <n v="1317000.0"/>
        <n v="5221000.0"/>
        <n v="9981000.0"/>
        <n v="947000.0"/>
        <n v="1232000.0"/>
        <n v="1097000.0"/>
        <n v="905000.0"/>
        <n v="1872000.0"/>
        <n v="732000.0"/>
        <n v="475000.0"/>
        <n v="650000.0"/>
        <n v="2324000.0"/>
        <n v="1.2803E7"/>
        <n v="560000.0"/>
        <n v="1207000.0"/>
        <n v="1218000.0"/>
        <n v="1107000.0"/>
        <n v="984000.0"/>
        <n v="1.1537E7"/>
        <n v="1268000.0"/>
        <n v="1166000.0"/>
        <n v="1499000.0"/>
        <n v="1.4865E7"/>
        <n v="989000.0"/>
        <n v="4664000.0"/>
        <n v="1408000.0"/>
        <n v="2698000.0"/>
        <n v="964000.0"/>
        <n v="1.4968E7"/>
        <n v="3520000.0"/>
        <n v="1638000.0"/>
        <n v="530000.0"/>
        <n v="3805000.0"/>
        <n v="1513000.0"/>
        <n v="480000.0"/>
        <n v="1118000.0"/>
        <n v="473000.0"/>
        <n v="839000.0"/>
        <n v="800000.0"/>
        <n v="1354000.0"/>
        <n v="1506000.0"/>
        <n v="1422000.0"/>
        <n v="962000.0"/>
        <n v="519000.0"/>
        <n v="7633000.0"/>
        <n v="809000.0"/>
        <n v="1.0579E7"/>
        <n v="894000.0"/>
        <n v="1663000.0"/>
        <n v="1.0402E7"/>
        <n v="545000.0"/>
        <n v="1281000.0"/>
        <n v="1.1743E7"/>
        <n v="1335000.0"/>
        <n v="1.3466E7"/>
        <n v="1069000.0"/>
        <n v="1540000.0"/>
        <n v="1.0905E7"/>
        <n v="1.3333E7"/>
        <n v="1656000.0"/>
        <n v="9381000.0"/>
        <n v="1121000.0"/>
        <n v="1769000.0"/>
        <n v="3237000.0"/>
        <n v="1225000.0"/>
        <n v="1.4457E7"/>
        <n v="1284000.0"/>
        <n v="1075000.0"/>
        <n v="581000.0"/>
        <n v="4353000.0"/>
        <n v="1065000.0"/>
        <n v="2634000.0"/>
        <n v="1.1372E7"/>
        <n v="1739000.0"/>
        <n v="508000.0"/>
        <n v="733000.0"/>
        <n v="1.4962E7"/>
        <n v="1214000.0"/>
        <n v="1181000.0"/>
        <n v="1262000.0"/>
        <n v="5974000.0"/>
        <n v="1.3368E7"/>
        <n v="1163000.0"/>
        <n v="7464000.0"/>
        <n v="710000.0"/>
        <n v="463000.0"/>
        <n v="1.1009E7"/>
        <n v="799000.0"/>
        <n v="1386000.0"/>
        <n v="1044000.0"/>
        <n v="609000.0"/>
        <n v="1671000.0"/>
        <n v="4820000.0"/>
        <n v="617000.0"/>
        <n v="1041000.0"/>
        <n v="720000.0"/>
        <n v="621000.0"/>
        <n v="1047000.0"/>
        <n v="944000.0"/>
        <n v="1695000.0"/>
        <n v="2904000.0"/>
        <n v="690000.0"/>
        <n v="1.1064E7"/>
        <n v="722000.0"/>
        <n v="1429000.0"/>
        <n v="1611000.0"/>
        <n v="3779000.0"/>
        <n v="854000.0"/>
        <n v="1.0707E7"/>
        <n v="1.421E7"/>
        <n v="754000.0"/>
        <n v="994000.0"/>
        <n v="9144000.0"/>
        <n v="1271000.0"/>
        <n v="479000.0"/>
        <n v="505000.0"/>
        <n v="1670000.0"/>
        <n v="694000.0"/>
        <n v="1716000.0"/>
        <n v="1.2843E7"/>
        <n v="517000.0"/>
        <n v="5184000.0"/>
        <n v="1559000.0"/>
        <n v="8499000.0"/>
        <n v="516000.0"/>
        <n v="708000.0"/>
        <n v="5162000.0"/>
        <n v="2144000.0"/>
        <n v="1.4738E7"/>
        <n v="1.4657E7"/>
        <n v="1.3087E7"/>
        <n v="3845000.0"/>
        <n v="9985000.0"/>
        <n v="6814000.0"/>
        <n v="9615000.0"/>
        <n v="1.0192E7"/>
        <n v="5603000.0"/>
        <n v="3218000.0"/>
        <n v="1.0628E7"/>
        <n v="1.0008E7"/>
        <n v="4392000.0"/>
        <n v="1.4193E7"/>
        <n v="1.0604E7"/>
        <n v="5624000.0"/>
        <n v="4373000.0"/>
        <n v="7969000.0"/>
        <n v="9091000.0"/>
        <n v="2542000.0"/>
        <n v="2529000.0"/>
        <n v="4399000.0"/>
        <n v="4828000.0"/>
        <n v="3423000.0"/>
      </sharedItems>
    </cacheField>
    <cacheField name="ACTUAL FARE" numFmtId="164">
      <sharedItems containsSemiMixedTypes="0" containsString="0" containsNumber="1">
        <n v="1328250.0"/>
        <n v="2847600.0"/>
        <n v="1148000.0"/>
        <n v="1.5986149999999998E7"/>
        <n v="4824250.0"/>
        <n v="2289000.0"/>
        <n v="1297800.0"/>
        <n v="1619750.0"/>
        <n v="1310050.0"/>
        <n v="2.375E7"/>
        <n v="9875050.0"/>
        <n v="9002200.0"/>
        <n v="1055700.0"/>
        <n v="3852500.0"/>
        <n v="4557150.0"/>
        <n v="5236400.0"/>
        <n v="2029749.9999999998"/>
        <n v="1275000.0"/>
        <n v="2037799.9999999998"/>
        <n v="1227800.0"/>
        <n v="1005199.9999999999"/>
        <n v="2224600.0"/>
        <n v="688750.0"/>
        <n v="1.11343E7"/>
        <n v="1639400.0"/>
        <n v="1627249.9999999998"/>
        <n v="954750.0"/>
        <n v="3.425E7"/>
        <n v="1318800.0"/>
        <n v="1553250.0"/>
        <n v="817600.0"/>
        <n v="5903300.0"/>
        <n v="8642150.0"/>
        <n v="1162800.0"/>
        <n v="4880000.0"/>
        <n v="4392500.0"/>
        <n v="1.3285E7"/>
        <n v="7443250.0"/>
        <n v="3022500.0"/>
        <n v="952850.0"/>
        <n v="568100.0"/>
        <n v="773300.0"/>
        <n v="2435000.0"/>
        <n v="2387000.0"/>
        <n v="2007599.9999999998"/>
        <n v="1068200.0"/>
        <n v="445550.0"/>
        <n v="1.043E7"/>
        <n v="8604300.0"/>
        <n v="1.2314199999999998E7"/>
        <n v="1165000.0"/>
        <n v="1421200.0"/>
        <n v="3892500.0"/>
        <n v="531300.0"/>
        <n v="909150.0"/>
        <n v="1.5949349999999998E7"/>
        <n v="1099000.0"/>
        <n v="2233000.0"/>
        <n v="1293750.0"/>
        <n v="2781600.0"/>
        <n v="8989550.0"/>
        <n v="8457400.0"/>
        <n v="1620349.9999999998"/>
        <n v="9202500.0"/>
        <n v="1628300.0"/>
        <n v="2445000.0"/>
        <n v="1.86144E7"/>
        <n v="7480199.999999999"/>
        <n v="2790000.0"/>
        <n v="4250000.0"/>
        <n v="1286600.0"/>
        <n v="1590300.0"/>
        <n v="1945799.9999999998"/>
        <n v="930050.0"/>
        <n v="3985000.0"/>
        <n v="1.226355E7"/>
        <n v="623200.0"/>
        <n v="1927500.0"/>
        <n v="773949.9999999999"/>
        <n v="2451400.0"/>
        <n v="709650.0"/>
        <n v="4849550.0"/>
        <n v="3190000.0"/>
        <n v="1529499.9999999998"/>
        <n v="1760649.9999999998"/>
        <n v="8606050.0"/>
        <n v="2800000.0"/>
        <n v="4222500.0"/>
        <n v="1034550.0"/>
        <n v="2727500.0"/>
        <n v="634600.0"/>
        <n v="2379350.0"/>
        <n v="2912500.0"/>
        <n v="1524750.0"/>
        <n v="3.52975E7"/>
        <n v="1189100.0"/>
        <n v="1290100.0"/>
        <n v="4242500.0"/>
        <n v="1228350.0"/>
        <n v="1654900.0"/>
        <n v="1490550.0"/>
        <n v="6067600.0"/>
        <n v="9105000.0"/>
        <n v="1260400.0"/>
        <n v="1117200.0"/>
        <n v="3945000.0"/>
        <n v="2364600.0"/>
        <n v="1135050.0"/>
        <n v="1174150.0"/>
        <n v="1965000.0"/>
        <n v="3435000.0"/>
        <n v="1393650.0"/>
        <n v="9875000.0"/>
        <n v="1799300.0"/>
        <n v="1589350.0"/>
        <n v="1.78206E7"/>
        <n v="927200.0"/>
        <n v="2011349.9999999998"/>
        <n v="3199600.0"/>
        <n v="1009699.9999999999"/>
        <n v="787749.9999999999"/>
        <n v="9191000.0"/>
        <n v="3577649.9999999995"/>
        <n v="3470000.0"/>
        <n v="1217850.0"/>
        <n v="1831200.0"/>
        <n v="1.9411E7"/>
        <n v="555450.0"/>
        <n v="442700.0"/>
        <n v="1707749.9999999998"/>
        <n v="4440000.0"/>
        <n v="700150.0"/>
        <n v="839499.9999999999"/>
        <n v="6662350.0"/>
        <n v="3710000.0"/>
        <n v="2.3865E7"/>
        <n v="878750.0"/>
        <n v="1322400.0"/>
        <n v="1339500.0"/>
        <n v="1705250.0"/>
        <n v="6005300.0"/>
        <n v="853299.9999999999"/>
        <n v="844200.0"/>
        <n v="2490000.0"/>
        <n v="1478900.0"/>
        <n v="3942500.0"/>
        <n v="1233400.0"/>
        <n v="672750.0"/>
        <n v="3107500.0"/>
        <n v="8820000.0"/>
        <n v="635550.0"/>
        <n v="5462500.0"/>
        <n v="1.25058E7"/>
        <n v="6379800.0"/>
        <n v="2462500.0"/>
        <n v="1.22332E7"/>
        <n v="2217500.0"/>
        <n v="1291450.0"/>
        <n v="789600.0"/>
        <n v="4064099.9999999995"/>
        <n v="4382500.0"/>
        <n v="1315000.0"/>
        <n v="1.32818E7"/>
        <n v="8063799.999999999"/>
        <n v="1925000.0"/>
        <n v="1690050.0"/>
        <n v="1822749.9999999998"/>
        <n v="1.14908E7"/>
        <n v="1140950.0"/>
        <n v="510150.0"/>
        <n v="4427500.0"/>
        <n v="4205550.0"/>
        <n v="1034999.9999999999"/>
        <n v="3.67975E7"/>
        <n v="1.04762E7"/>
        <n v="2214800.0"/>
        <n v="796100.0"/>
        <n v="2069100.0"/>
        <n v="1632999.9999999998"/>
        <n v="3215000.0"/>
        <n v="5307400.0"/>
        <n v="1613449.9999999998"/>
        <n v="3485000.0"/>
        <n v="1750000.0"/>
        <n v="4879200.0"/>
        <n v="660100.0"/>
        <n v="3545000.0"/>
        <n v="1.74426E7"/>
        <n v="1380350.0"/>
        <n v="1977500.0"/>
        <n v="1816999.9999999998"/>
        <n v="9270800.0"/>
        <n v="646950.0"/>
        <n v="2022999.9999999998"/>
        <n v="810749.9999999999"/>
        <n v="1220000.0"/>
        <n v="2352000.0"/>
        <n v="3.172E7"/>
        <n v="2483600.0"/>
        <n v="2147600.0"/>
        <n v="698250.0"/>
        <n v="1169450.0"/>
        <n v="1.86424E7"/>
        <n v="3074200.0"/>
        <n v="2045399.9999999998"/>
        <n v="1022200.0"/>
        <n v="501600.0"/>
        <n v="1945999.9999999998"/>
        <n v="719600.0"/>
        <n v="704200.0"/>
        <n v="2657500.0"/>
        <n v="2866150.0"/>
        <n v="5020900.0"/>
        <n v="3222500.0"/>
        <n v="3352500.0"/>
        <n v="2392500.0"/>
        <n v="1188600.0"/>
        <n v="1.14209E7"/>
        <n v="575000.0"/>
        <n v="1695750.0"/>
        <n v="1306200.0"/>
        <n v="1.046845E7"/>
        <n v="1657149.9999999998"/>
        <n v="903450.0"/>
        <n v="1423800.0"/>
        <n v="727950.0"/>
        <n v="1.40238E7"/>
        <n v="838349.9999999999"/>
        <n v="633650.0"/>
        <n v="2408000.0"/>
        <n v="1030399.9999999999"/>
        <n v="2777500.0"/>
        <n v="1227050.0"/>
        <n v="870200.0"/>
        <n v="1045349.9999999999"/>
        <n v="3355000.0"/>
        <n v="9030700.0"/>
        <n v="1434050.0"/>
        <n v="1479800.0"/>
        <n v="1.4431349999999998E7"/>
        <n v="859600.0"/>
        <n v="1591250.0"/>
        <n v="791350.0"/>
        <n v="1559900.0"/>
        <n v="1808949.9999999998"/>
        <n v="7494549.999999999"/>
        <n v="2045000.0"/>
        <n v="1.79872E7"/>
        <n v="1498000.0"/>
        <n v="9287200.0"/>
        <n v="1261600.0"/>
        <n v="890400.0"/>
        <n v="1.2331E7"/>
        <n v="527250.0"/>
        <n v="1711199.9999999998"/>
        <n v="6325200.0"/>
        <n v="3.33925E7"/>
        <n v="1624000.0"/>
        <n v="6593000.0"/>
        <n v="2075750.0"/>
        <n v="3817500.0"/>
        <n v="1430600.0"/>
        <n v="9083200.0"/>
        <n v="487350.0"/>
        <n v="854000.0"/>
        <n v="1.6605999999999998E7"/>
        <n v="2394000.0"/>
        <n v="555750.0"/>
        <n v="749550.0"/>
        <n v="1657750.0"/>
        <n v="3280000.0"/>
        <n v="1737649.9999999998"/>
        <n v="5223100.0"/>
        <n v="630200.0"/>
        <n v="9600700.0"/>
        <n v="869250.0"/>
        <n v="1265600.0"/>
        <n v="2785300.0"/>
        <n v="7888999.999999999"/>
        <n v="4230000.0"/>
        <n v="1092500.0"/>
        <n v="1.1193E7"/>
        <n v="1629250.0"/>
        <n v="4008899.9999999995"/>
        <n v="1980299.9999999998"/>
        <n v="1716400.0"/>
        <n v="1568000.0"/>
        <n v="1315750.0"/>
        <n v="1069500.0"/>
        <n v="1747200.0"/>
        <n v="1.02638E7"/>
        <n v="1.94138E7"/>
        <n v="1.5292699999999998E7"/>
        <n v="2.14975E7"/>
        <n v="3336149.9999999995"/>
        <n v="1598800.0"/>
        <n v="1.20403E7"/>
        <n v="1555000.0"/>
        <n v="6908049.999999999"/>
        <n v="790400.0"/>
        <n v="7068000.0"/>
        <n v="8121550.0"/>
        <n v="4377500.0"/>
        <n v="1.252765E7"/>
        <n v="2.68575E7"/>
        <n v="1166100.0"/>
        <n v="662150.0"/>
        <n v="1.6688799999999998E7"/>
        <n v="1.046E7"/>
        <n v="1.376265E7"/>
        <n v="3893399.9999999995"/>
        <n v="619400.0"/>
        <n v="1840999.9999999998"/>
        <n v="3557500.0"/>
        <n v="1.7465E7"/>
        <n v="1057350.0"/>
        <n v="2191000.0"/>
        <n v="2081799.9999999998"/>
        <n v="5353250.0"/>
        <n v="2.73675E7"/>
        <n v="1539000.0"/>
        <n v="9610000.0"/>
        <n v="2.62025E7"/>
        <n v="693450.0"/>
        <n v="2043549.9999999998"/>
        <n v="1930599.9999999998"/>
        <n v="3021200.0"/>
        <n v="1102850.0"/>
        <n v="1.72275E7"/>
        <n v="1149400.0"/>
        <n v="1877500.0"/>
        <n v="1.176955E7"/>
        <n v="521550.0"/>
        <n v="1235950.0"/>
        <n v="1327500.0"/>
        <n v="1766399.9999999998"/>
        <n v="1.2911049999999998E7"/>
        <n v="1.6427599999999998E7"/>
        <n v="1253500.0"/>
        <n v="2957500.0"/>
        <n v="2500400.0"/>
        <n v="2732500.0"/>
        <n v="2612500.0"/>
        <n v="4450000.0"/>
        <n v="1.2152E7"/>
        <n v="944999.9999999999"/>
        <n v="642600.0"/>
        <n v="3825000.0"/>
        <n v="2207500.0"/>
        <n v="1858399.9999999998"/>
        <n v="1.2842049999999998E7"/>
        <n v="4671800.0"/>
        <n v="697300.0"/>
        <n v="1806649.9999999998"/>
        <n v="2499000.0"/>
        <n v="791000.0"/>
        <n v="1578900.0"/>
        <n v="3.6415E7"/>
        <n v="2.0097E7"/>
        <n v="6440050.0"/>
        <n v="1648250.0"/>
        <n v="3052500.0"/>
        <n v="541500.0"/>
        <n v="2655000.0"/>
        <n v="1514549.9999999998"/>
        <n v="1.30525E7"/>
        <n v="2.49525E7"/>
        <n v="1325800.0"/>
        <n v="2209200.0"/>
        <n v="1170400.0"/>
        <n v="1261550.0"/>
        <n v="9956950.0"/>
        <n v="2262500.0"/>
        <n v="2620800.0"/>
        <n v="695400.0"/>
        <n v="665000.0"/>
        <n v="1625000.0"/>
        <n v="2672600.0"/>
        <n v="1.79242E7"/>
        <n v="1400000.0"/>
        <n v="1388050.0"/>
        <n v="1157100.0"/>
        <n v="2767500.0"/>
        <n v="934800.0"/>
        <n v="1.6151799999999998E7"/>
        <n v="1775200.0"/>
        <n v="1632400.0"/>
        <n v="1723849.9999999998"/>
        <n v="1.412175E7"/>
        <n v="1137350.0"/>
        <n v="6529600.0"/>
        <n v="1460000.0"/>
        <n v="3520000.0"/>
        <n v="3777199.9999999995"/>
        <n v="1108600.0"/>
        <n v="1.42196E7"/>
        <n v="8800000.0"/>
        <n v="2293200.0"/>
        <n v="1634000.0"/>
        <n v="503500.0"/>
        <n v="3614750.0"/>
        <n v="1437350.0"/>
        <n v="1200000.0"/>
        <n v="1565200.0"/>
        <n v="2459800.0"/>
        <n v="449350.0"/>
        <n v="797050.0"/>
        <n v="3922500.0"/>
        <n v="919999.9999999999"/>
        <n v="3385000.0"/>
        <n v="3765000.0"/>
        <n v="1350900.0"/>
        <n v="2405000.0"/>
        <n v="596850.0"/>
        <n v="8777950.0"/>
        <n v="930349.9999999999"/>
        <n v="1.005005E7"/>
        <n v="1236200.0"/>
        <n v="2235000.0"/>
        <n v="1912449.9999999998"/>
        <n v="1.19623E7"/>
        <n v="763000.0"/>
        <n v="1473150.0"/>
        <n v="2.93575E7"/>
        <n v="1868999.9999999998"/>
        <n v="1.5485899999999998E7"/>
        <n v="1496600.0"/>
        <n v="1297500.0"/>
        <n v="2.677E7"/>
        <n v="1770999.9999999998"/>
        <n v="1.5266999999999998E7"/>
        <n v="1.266635E7"/>
        <n v="1573200.0"/>
        <n v="1.31334E7"/>
        <n v="1569400.0"/>
        <n v="4422500.0"/>
        <n v="3075150.0"/>
        <n v="886649.9999999999"/>
        <n v="1715000.0"/>
        <n v="578450.0"/>
        <n v="2.02398E7"/>
        <n v="1797600.0"/>
        <n v="1021250.0"/>
        <n v="551950.0"/>
        <n v="4135350.0"/>
        <n v="1224750.0"/>
        <n v="6585000.0"/>
        <n v="2.843E7"/>
        <n v="4347500.0"/>
        <n v="584200.0"/>
        <n v="1832500.0"/>
        <n v="2.09468E7"/>
        <n v="1396100.0"/>
        <n v="4430000.0"/>
        <n v="1653400.0"/>
        <n v="1451300.0"/>
        <n v="3932500.0"/>
        <n v="6870099.999999999"/>
        <n v="1.87152E7"/>
        <n v="1104850.0"/>
        <n v="7090800.0"/>
        <n v="674500.0"/>
        <n v="648200.0"/>
        <n v="2.75225E7"/>
        <n v="3287500.0"/>
        <n v="918849.9999999999"/>
        <n v="1316700.0"/>
        <n v="1461600.0"/>
        <n v="578550.0"/>
        <n v="1587450.0"/>
        <n v="1.205E7"/>
        <n v="863800.0"/>
        <n v="1457400.0"/>
        <n v="1007999.9999999999"/>
        <n v="1790549.9999999998"/>
        <n v="1552500.0"/>
        <n v="994650.0"/>
        <n v="1015550.0"/>
        <n v="1321600.0"/>
        <n v="1949249.9999999998"/>
        <n v="7260000.0"/>
        <n v="1725000.0"/>
        <n v="2.766E7"/>
        <n v="1010799.9999999999"/>
        <n v="1643349.9999999998"/>
        <n v="1852649.9999999998"/>
        <n v="3590050.0"/>
        <n v="982099.9999999999"/>
        <n v="2.67675E7"/>
        <n v="1.6341499999999998E7"/>
        <n v="1055600.0"/>
        <n v="1143100.0"/>
        <n v="1.28016E7"/>
        <n v="1779400.0"/>
        <n v="455050.0"/>
        <n v="1262500.0"/>
        <n v="1334000.0"/>
        <n v="4175000.0"/>
        <n v="798099.9999999999"/>
        <n v="2402400.0"/>
        <n v="1985199.9999999998"/>
        <n v="1.4769449999999998E7"/>
        <n v="723800.0"/>
        <n v="1527199.9999999998"/>
        <n v="4924800.0"/>
        <n v="1481050.0"/>
        <n v="8074050.0"/>
        <n v="722400.0"/>
        <n v="814199.9999999999"/>
        <n v="5936300.0"/>
        <n v="5360000.0"/>
        <n v="3.6845E7"/>
        <n v="1.685555E7"/>
        <n v="1.83218E7"/>
        <n v="5383000.0"/>
        <n v="2.49625E7"/>
        <n v="1.7035E7"/>
        <n v="1.3461E7"/>
        <n v="1.17208E7"/>
        <n v="1.40075E7"/>
        <n v="3700699.9999999995"/>
        <n v="1.00966E7"/>
        <n v="9507600.0"/>
        <n v="1.098E7"/>
        <n v="1.6321949999999998E7"/>
        <n v="1.2194599999999998E7"/>
        <n v="6467599.999999999"/>
        <n v="4154350.0"/>
        <n v="1.11566E7"/>
        <n v="8636450.0"/>
        <n v="3558800.0"/>
        <n v="2402550.0"/>
        <n v="1.09975E7"/>
        <n v="6759200.0"/>
        <n v="3251850.0"/>
      </sharedItems>
    </cacheField>
    <cacheField name="FARE DIFFERENT" numFmtId="164">
      <sharedItems containsSemiMixedTypes="0" containsString="0" containsNumber="1">
        <n v="-173250.0"/>
        <n v="-813600.0"/>
        <n v="-328000.0"/>
        <n v="-2085149.9999999981"/>
        <n v="-629250.0"/>
        <n v="-654000.0"/>
        <n v="-370800.0"/>
        <n v="85250.0"/>
        <n v="68950.0"/>
        <n v="-1.425E7"/>
        <n v="-1288050.0"/>
        <n v="-1174200.0"/>
        <n v="-137700.0"/>
        <n v="-2311500.0"/>
        <n v="239850.0"/>
        <n v="275600.0"/>
        <n v="-264749.99999999977"/>
        <n v="-765000.0"/>
        <n v="-265799.99999999977"/>
        <n v="-350800.0"/>
        <n v="-287199.9999999999"/>
        <n v="-635600.0"/>
        <n v="36250.0"/>
        <n v="-1452300.0"/>
        <n v="-468400.0"/>
        <n v="-212249.99999999977"/>
        <n v="50250.0"/>
        <n v="-2.055E7"/>
        <n v="-376800.0"/>
        <n v="81750.0"/>
        <n v="-233600.0"/>
        <n v="310700.0"/>
        <n v="454850.0"/>
        <n v="61200.0"/>
        <n v="-2928000.0"/>
        <n v="-2635500.0"/>
        <n v="-7971000.0"/>
        <n v="391750.0"/>
        <n v="-1813500.0"/>
        <n v="50150.0"/>
        <n v="29900.0"/>
        <n v="40700.0"/>
        <n v="-1461000.0"/>
        <n v="-682000.0"/>
        <n v="-573599.9999999998"/>
        <n v="-305200.0"/>
        <n v="23450.0"/>
        <n v="-2980000.0"/>
        <n v="-1122300.0"/>
        <n v="-1606199.9999999981"/>
        <n v="-699000.0"/>
        <n v="74800.0"/>
        <n v="-2335500.0"/>
        <n v="-69300.0"/>
        <n v="47850.0"/>
        <n v="-2080349.9999999981"/>
        <n v="-314000.0"/>
        <n v="-638000.0"/>
        <n v="-168750.0"/>
        <n v="146400.0"/>
        <n v="-1172550.0"/>
        <n v="-2416400.0"/>
        <n v="-211349.99999999977"/>
        <n v="-5521500.0"/>
        <n v="85700.0"/>
        <n v="-1467000.0"/>
        <n v="-5318400.0"/>
        <n v="-2137199.999999999"/>
        <n v="-1674000.0"/>
        <n v="-2550000.0"/>
        <n v="-367600.0"/>
        <n v="83700.0"/>
        <n v="-253799.99999999977"/>
        <n v="48950.0"/>
        <n v="-2391000.0"/>
        <n v="645450.0"/>
        <n v="32800.0"/>
        <n v="-1156500.0"/>
        <n v="-100949.99999999988"/>
        <n v="-700400.0"/>
        <n v="37350.0"/>
        <n v="-632550.0"/>
        <n v="-1914000.0"/>
        <n v="-199499.99999999977"/>
        <n v="-229649.99999999977"/>
        <n v="452950.0"/>
        <n v="-1680000.0"/>
        <n v="-2533500.0"/>
        <n v="54450.0"/>
        <n v="-1636500.0"/>
        <n v="33400.0"/>
        <n v="-310350.0"/>
        <n v="-1747500.0"/>
        <n v="80250.0"/>
        <n v="-2.11785E7"/>
        <n v="-155100.0"/>
        <n v="67900.0"/>
        <n v="-2545500.0"/>
        <n v="64650.0"/>
        <n v="87100.0"/>
        <n v="78450.0"/>
        <n v="-1733600.0"/>
        <n v="-5463000.0"/>
        <n v="-164400.0"/>
        <n v="58800.0"/>
        <n v="-2367000.0"/>
        <n v="-675600.0"/>
        <n v="-148050.0"/>
        <n v="-153150.0"/>
        <n v="-1179000.0"/>
        <n v="-2061000.0"/>
        <n v="73350.0"/>
        <n v="-5925000.0"/>
        <n v="94700.0"/>
        <n v="83650.0"/>
        <n v="-5091600.0"/>
        <n v="48800.0"/>
        <n v="-262349.99999999977"/>
        <n v="168400.0"/>
        <n v="-131699.99999999988"/>
        <n v="-102749.99999999988"/>
        <n v="-2626000.0"/>
        <n v="-466649.99999999953"/>
        <n v="-2082000.0"/>
        <n v="-158850.0"/>
        <n v="-523200.0"/>
        <n v="-5546000.0"/>
        <n v="-72450.0"/>
        <n v="23300.0"/>
        <n v="-222749.99999999977"/>
        <n v="-2664000.0"/>
        <n v="36850.0"/>
        <n v="-109499.99999999988"/>
        <n v="350650.0"/>
        <n v="-2226000.0"/>
        <n v="-1.4319E7"/>
        <n v="46250.0"/>
        <n v="69600.0"/>
        <n v="70500.0"/>
        <n v="89750.0"/>
        <n v="-783300.0"/>
        <n v="-111299.99999999988"/>
        <n v="-241200.0"/>
        <n v="-1494000.0"/>
        <n v="-192900.0"/>
        <n v="-2365500.0"/>
        <n v="-352400.0"/>
        <n v="-87750.0"/>
        <n v="-1864500.0"/>
        <n v="-5292000.0"/>
        <n v="33450.0"/>
        <n v="287500.0"/>
        <n v="658200.0"/>
        <n v="-1822800.0"/>
        <n v="-1477500.0"/>
        <n v="-3495200.0"/>
        <n v="-1330500.0"/>
        <n v="-168450.0"/>
        <n v="-225600.0"/>
        <n v="-530099.9999999995"/>
        <n v="-2629500.0"/>
        <n v="-789000.0"/>
        <n v="-3794800.0"/>
        <n v="-1051799.999999999"/>
        <n v="-1155000.0"/>
        <n v="88950.0"/>
        <n v="-237749.99999999977"/>
        <n v="-1498800.0"/>
        <n v="60050.0"/>
        <n v="26850.0"/>
        <n v="-2656500.0"/>
        <n v="-548550.0"/>
        <n v="-134999.99999999988"/>
        <n v="-2.20785E7"/>
        <n v="-2993200.0"/>
        <n v="-632800.0"/>
        <n v="41900.0"/>
        <n v="108900.0"/>
        <n v="-212999.99999999977"/>
        <n v="-1929000.0"/>
        <n v="-1516400.0"/>
        <n v="-210449.99999999977"/>
        <n v="-2091000.0"/>
        <n v="-500000.0"/>
        <n v="256800.0"/>
        <n v="-86100.0"/>
        <n v="-2127000.0"/>
        <n v="-4983600.0"/>
        <n v="72650.0"/>
        <n v="-1186500.0"/>
        <n v="-236999.99999999977"/>
        <n v="-2648800.0"/>
        <n v="34050.0"/>
        <n v="-577999.9999999998"/>
        <n v="-105749.99999999988"/>
        <n v="-732000.0"/>
        <n v="-672000.0"/>
        <n v="-1.9032E7"/>
        <n v="-709600.0"/>
        <n v="-613600.0"/>
        <n v="36750.0"/>
        <n v="61550.0"/>
        <n v="-5326400.0"/>
        <n v="161800.0"/>
        <n v="-584399.9999999998"/>
        <n v="53800.0"/>
        <n v="26400.0"/>
        <n v="-555999.9999999998"/>
        <n v="-205600.0"/>
        <n v="-201200.0"/>
        <n v="-1594500.0"/>
        <n v="150850.0"/>
        <n v="-654900.0"/>
        <n v="-1933500.0"/>
        <n v="-2011500.0"/>
        <n v="-1435500.0"/>
        <n v="-339600.0"/>
        <n v="601100.0"/>
        <n v="-75000.0"/>
        <n v="89250.0"/>
        <n v="-373200.0"/>
        <n v="-1365450.0"/>
        <n v="-216149.99999999977"/>
        <n v="47550.0"/>
        <n v="-406800.0"/>
        <n v="-94950.0"/>
        <n v="-4006800.0"/>
        <n v="-109349.99999999988"/>
        <n v="-82650.0"/>
        <n v="-688000.0"/>
        <n v="-134399.99999999988"/>
        <n v="-1666500.0"/>
        <n v="-160050.0"/>
        <n v="45800.0"/>
        <n v="-136349.99999999988"/>
        <n v="-2013000.0"/>
        <n v="475300.0"/>
        <n v="-187050.0"/>
        <n v="-422800.0"/>
        <n v="-1882349.9999999981"/>
        <n v="-245600.0"/>
        <n v="83750.0"/>
        <n v="41650.0"/>
        <n v="82100.0"/>
        <n v="-235949.99999999977"/>
        <n v="-977549.9999999991"/>
        <n v="-1227000.0"/>
        <n v="-5139200.0"/>
        <n v="-428000.0"/>
        <n v="488800.0"/>
        <n v="66400.0"/>
        <n v="-254400.0"/>
        <n v="649000.0"/>
        <n v="27750.0"/>
        <n v="-223199.99999999977"/>
        <n v="-1807200.0"/>
        <n v="-2.00355E7"/>
        <n v="-464000.0"/>
        <n v="347000.0"/>
        <n v="109250.0"/>
        <n v="-2290500.0"/>
        <n v="-186600.0"/>
        <n v="-2595200.0"/>
        <n v="25650.0"/>
        <n v="-244000.0"/>
        <n v="-2165999.999999998"/>
        <n v="126000.0"/>
        <n v="29250.0"/>
        <n v="39450.0"/>
        <n v="87250.0"/>
        <n v="-1968000.0"/>
        <n v="-226649.99999999977"/>
        <n v="274900.0"/>
        <n v="-82200.0"/>
        <n v="505300.0"/>
        <n v="45750.0"/>
        <n v="-361600.0"/>
        <n v="-363300.0"/>
        <n v="-1028999.9999999991"/>
        <n v="-2538000.0"/>
        <n v="57500.0"/>
        <n v="-3198000.0"/>
        <n v="85750.0"/>
        <n v="-522899.99999999953"/>
        <n v="-258299.99999999977"/>
        <n v="-490400.0"/>
        <n v="-448000.0"/>
        <n v="69250.0"/>
        <n v="-139500.0"/>
        <n v="-499200.0"/>
        <n v="540200.0"/>
        <n v="-5546800.0"/>
        <n v="-1994699.9999999981"/>
        <n v="-1.28985E7"/>
        <n v="-435149.99999999953"/>
        <n v="-456800.0"/>
        <n v="633700.0"/>
        <n v="-933000.0"/>
        <n v="-901049.9999999991"/>
        <n v="41600.0"/>
        <n v="372000.0"/>
        <n v="427450.0"/>
        <n v="-2626500.0"/>
        <n v="659350.0"/>
        <n v="-1.61145E7"/>
        <n v="-152100.0"/>
        <n v="34850.0"/>
        <n v="-2176799.999999998"/>
        <n v="-6276000.0"/>
        <n v="724350.0"/>
        <n v="-1112399.9999999995"/>
        <n v="32600.0"/>
        <n v="-525999.9999999998"/>
        <n v="-2134500.0"/>
        <n v="-1.0479E7"/>
        <n v="55650.0"/>
        <n v="-626000.0"/>
        <n v="-594799.9999999998"/>
        <n v="-698250.0"/>
        <n v="-1.64205E7"/>
        <n v="81000.0"/>
        <n v="-5766000.0"/>
        <n v="-1.57215E7"/>
        <n v="-90450.0"/>
        <n v="-266549.99999999977"/>
        <n v="-551599.9999999998"/>
        <n v="-863200.0"/>
        <n v="-143850.0"/>
        <n v="-1.03365E7"/>
        <n v="-328400.0"/>
        <n v="-1126500.0"/>
        <n v="619450.0"/>
        <n v="27450.0"/>
        <n v="65050.0"/>
        <n v="-796500.0"/>
        <n v="-230399.99999999977"/>
        <n v="-1684049.9999999981"/>
        <n v="-4693599.999999998"/>
        <n v="-163500.0"/>
        <n v="-1774500.0"/>
        <n v="-714400.0"/>
        <n v="-1639500.0"/>
        <n v="137500.0"/>
        <n v="-2670000.0"/>
        <n v="-3472000.0"/>
        <n v="-269999.9999999999"/>
        <n v="-183600.0"/>
        <n v="-2295000.0"/>
        <n v="-1324500.0"/>
        <n v="-242399.99999999977"/>
        <n v="-319200.0"/>
        <n v="-1675049.9999999981"/>
        <n v="-1334800.0"/>
        <n v="36700.0"/>
        <n v="-235649.99999999977"/>
        <n v="-714000.0"/>
        <n v="-226000.0"/>
        <n v="83100.0"/>
        <n v="-2.1849E7"/>
        <n v="-5742000.0"/>
        <n v="338950.0"/>
        <n v="86750.0"/>
        <n v="-1831500.0"/>
        <n v="28500.0"/>
        <n v="-1593000.0"/>
        <n v="-197549.99999999977"/>
        <n v="-7831500.0"/>
        <n v="-1.49715E7"/>
        <n v="-378800.0"/>
        <n v="-631200.0"/>
        <n v="61600.0"/>
        <n v="-164550.0"/>
        <n v="524050.0"/>
        <n v="-1357500.0"/>
        <n v="-748800.0"/>
        <n v="36600.0"/>
        <n v="-190000.0"/>
        <n v="-975000.0"/>
        <n v="-348600.0"/>
        <n v="-5121200.0"/>
        <n v="-840000.0"/>
        <n v="-181050.0"/>
        <n v="60900.0"/>
        <n v="-1660500.0"/>
        <n v="49200.0"/>
        <n v="-4614799.999999998"/>
        <n v="-507200.0"/>
        <n v="-466400.0"/>
        <n v="-224849.99999999977"/>
        <n v="743250.0"/>
        <n v="-148350.0"/>
        <n v="-1865600.0"/>
        <n v="-876000.0"/>
        <n v="-2112000.0"/>
        <n v="-1079199.9999999995"/>
        <n v="-144600.0"/>
        <n v="748400.0"/>
        <n v="-5280000.0"/>
        <n v="-655200.0"/>
        <n v="86000.0"/>
        <n v="26500.0"/>
        <n v="190250.0"/>
        <n v="75650.0"/>
        <n v="-720000.0"/>
        <n v="-447200.0"/>
        <n v="-702800.0"/>
        <n v="23650.0"/>
        <n v="41950.0"/>
        <n v="-2353500.0"/>
        <n v="-119999.99999999988"/>
        <n v="-2031000.0"/>
        <n v="-2259000.0"/>
        <n v="71100.0"/>
        <n v="-1443000.0"/>
        <n v="-77850.0"/>
        <n v="-1144950.0"/>
        <n v="-121349.99999999988"/>
        <n v="528950.0"/>
        <n v="-353200.0"/>
        <n v="-1341000.0"/>
        <n v="-249449.99999999977"/>
        <n v="-1560300.0"/>
        <n v="-218000.0"/>
        <n v="-192150.0"/>
        <n v="-1.76145E7"/>
        <n v="-533999.9999999998"/>
        <n v="-2019899.9999999981"/>
        <n v="-427600.0"/>
        <n v="-778500.0"/>
        <n v="-1.6062E7"/>
        <n v="-230999.99999999977"/>
        <n v="-4361999.999999998"/>
        <n v="666650.0"/>
        <n v="82800.0"/>
        <n v="-3752400.0"/>
        <n v="-448400.0"/>
        <n v="-2653500.0"/>
        <n v="161850.0"/>
        <n v="-115649.99999999988"/>
        <n v="-490000.0"/>
        <n v="-75450.0"/>
        <n v="-5782800.0"/>
        <n v="-513600.0"/>
        <n v="53750.0"/>
        <n v="29050.0"/>
        <n v="217650.0"/>
        <n v="-159750.0"/>
        <n v="-3951000.0"/>
        <n v="-1.7058E7"/>
        <n v="-2608500.0"/>
        <n v="-76200.0"/>
        <n v="-1099500.0"/>
        <n v="-5984800.0"/>
        <n v="-182100.0"/>
        <n v="-2658000.0"/>
        <n v="-472400.0"/>
        <n v="-189300.0"/>
        <n v="-2359500.0"/>
        <n v="-896099.9999999991"/>
        <n v="-5347200.0"/>
        <n v="58150.0"/>
        <n v="373200.0"/>
        <n v="35500.0"/>
        <n v="-185200.0"/>
        <n v="-1.65135E7"/>
        <n v="-1972500.0"/>
        <n v="-119849.99999999988"/>
        <n v="69300.0"/>
        <n v="-417600.0"/>
        <n v="30450.0"/>
        <n v="83550.0"/>
        <n v="-7230000.0"/>
        <n v="-246800.0"/>
        <n v="-416400.0"/>
        <n v="-287999.9999999999"/>
        <n v="-233549.99999999977"/>
        <n v="-931500.0"/>
        <n v="52350.0"/>
        <n v="53450.0"/>
        <n v="-377600.0"/>
        <n v="-254249.99999999977"/>
        <n v="-4356000.0"/>
        <n v="-1035000.0"/>
        <n v="-1.6596E7"/>
        <n v="-288799.9999999999"/>
        <n v="-214349.99999999977"/>
        <n v="-241649.99999999977"/>
        <n v="188950.0"/>
        <n v="-128099.99999999988"/>
        <n v="-1.60605E7"/>
        <n v="-2131499.999999998"/>
        <n v="-301600.0"/>
        <n v="-149100.0"/>
        <n v="-3657600.0"/>
        <n v="-508400.0"/>
        <n v="23950.0"/>
        <n v="-757500.0"/>
        <n v="-174000.0"/>
        <n v="-2505000.0"/>
        <n v="-104099.99999999988"/>
        <n v="-686400.0"/>
        <n v="-567199.9999999998"/>
        <n v="-1926449.9999999981"/>
        <n v="-206800.0"/>
        <n v="-199199.99999999977"/>
        <n v="259200.0"/>
        <n v="77950.0"/>
        <n v="424950.0"/>
        <n v="-206400.0"/>
        <n v="-106199.99999999988"/>
        <n v="-774300.0"/>
        <n v="-3216000.0"/>
        <n v="-2.2107E7"/>
        <n v="-2198550.0"/>
        <n v="-5234800.0"/>
        <n v="-1538000.0"/>
        <n v="-1.49775E7"/>
        <n v="-1.0221E7"/>
        <n v="-3846000.0"/>
        <n v="-1528800.0"/>
        <n v="-8404500.0"/>
        <n v="-482699.99999999953"/>
        <n v="531400.0"/>
        <n v="500400.0"/>
        <n v="-6588000.0"/>
        <n v="-2128949.999999998"/>
        <n v="-1590599.9999999981"/>
        <n v="-843599.9999999991"/>
        <n v="218650.0"/>
        <n v="-3187600.0"/>
        <n v="454550.0"/>
        <n v="-1016800.0"/>
        <n v="126450.0"/>
        <n v="-6598500.0"/>
        <n v="-1931200.0"/>
        <n v="171150.0"/>
      </sharedItems>
    </cacheField>
    <cacheField name="MARK UP" numFmtId="10">
      <sharedItems containsSemiMixedTypes="0" containsString="0" containsNumber="1">
        <n v="-0.15"/>
        <n v="-0.4"/>
        <n v="-0.14999999999999986"/>
        <n v="0.05"/>
        <n v="-1.5"/>
        <n v="-0.39999999999999986"/>
        <n v="-0.14999999999999983"/>
        <n v="-0.3999999999999998"/>
        <n v="-0.14999999999999988"/>
      </sharedItems>
    </cacheField>
    <cacheField name="CATEGORY" numFmtId="0">
      <sharedItems>
        <s v="Fare Increase"/>
        <s v="Normal"/>
        <s v="Over Buffer"/>
      </sharedItems>
    </cacheField>
    <cacheField name="COST OF REFUND" numFmtId="164">
      <sharedItems containsSemiMixedTypes="0" containsString="0" containsNumber="1">
        <n v="173250.0"/>
        <n v="813600.0"/>
        <n v="328000.0"/>
        <n v="2085149.9999999981"/>
        <n v="629250.0"/>
        <n v="654000.0"/>
        <n v="370800.0"/>
        <n v="-85250.0"/>
        <n v="-68950.0"/>
        <n v="-9500000.0"/>
        <n v="1288050.0"/>
        <n v="1174200.0"/>
        <n v="137700.0"/>
        <n v="-1541000.0"/>
        <n v="-239850.0"/>
        <n v="-275600.0"/>
        <n v="264749.99999999977"/>
        <n v="-510000.0"/>
        <n v="265799.99999999977"/>
        <n v="350800.0"/>
        <n v="287199.9999999999"/>
        <n v="635600.0"/>
        <n v="-36250.0"/>
        <n v="1452300.0"/>
        <n v="468400.0"/>
        <n v="212249.99999999977"/>
        <n v="-50250.0"/>
        <n v="-1.37E7"/>
        <n v="376800.0"/>
        <n v="-81750.0"/>
        <n v="233600.0"/>
        <n v="-310700.0"/>
        <n v="-454850.0"/>
        <n v="-61200.0"/>
        <n v="-1952000.0"/>
        <n v="-1757000.0"/>
        <n v="-5314000.0"/>
        <n v="-391750.0"/>
        <n v="-1209000.0"/>
        <n v="-50150.0"/>
        <n v="-29900.0"/>
        <n v="-40700.0"/>
        <n v="-974000.0"/>
        <n v="682000.0"/>
        <n v="573599.9999999998"/>
        <n v="305200.0"/>
        <n v="-23450.0"/>
        <n v="2980000.0"/>
        <n v="1122300.0"/>
        <n v="1606199.9999999981"/>
        <n v="-466000.0"/>
        <n v="-74800.0"/>
        <n v="-1557000.0"/>
        <n v="69300.0"/>
        <n v="-47850.0"/>
        <n v="2080349.9999999981"/>
        <n v="314000.0"/>
        <n v="638000.0"/>
        <n v="168750.0"/>
        <n v="-146400.0"/>
        <n v="1172550.0"/>
        <n v="2416400.0"/>
        <n v="211349.99999999977"/>
        <n v="-3681000.0"/>
        <n v="-85700.0"/>
        <n v="-978000.0"/>
        <n v="5318400.0"/>
        <n v="2137199.999999999"/>
        <n v="-1116000.0"/>
        <n v="-1700000.0"/>
        <n v="367600.0"/>
        <n v="-83700.0"/>
        <n v="253799.99999999977"/>
        <n v="-48950.0"/>
        <n v="-1594000.0"/>
        <n v="-645450.0"/>
        <n v="-32800.0"/>
        <n v="-771000.0"/>
        <n v="100949.99999999988"/>
        <n v="700400.0"/>
        <n v="-37350.0"/>
        <n v="632550.0"/>
        <n v="-1276000.0"/>
        <n v="199499.99999999977"/>
        <n v="229649.99999999977"/>
        <n v="-452950.0"/>
        <n v="-1120000.0"/>
        <n v="-1689000.0"/>
        <n v="-54450.0"/>
        <n v="-1091000.0"/>
        <n v="-33400.0"/>
        <n v="310350.0"/>
        <n v="-1165000.0"/>
        <n v="-80250.0"/>
        <n v="-1.4119E7"/>
        <n v="155100.0"/>
        <n v="-67900.0"/>
        <n v="-1697000.0"/>
        <n v="-64650.0"/>
        <n v="-87100.0"/>
        <n v="-78450.0"/>
        <n v="1733600.0"/>
        <n v="-3642000.0"/>
        <n v="164400.0"/>
        <n v="-58800.0"/>
        <n v="-1578000.0"/>
        <n v="675600.0"/>
        <n v="148050.0"/>
        <n v="153150.0"/>
        <n v="-786000.0"/>
        <n v="-1374000.0"/>
        <n v="-73350.0"/>
        <n v="-3950000.0"/>
        <n v="-94700.0"/>
        <n v="-83650.0"/>
        <n v="5091600.0"/>
        <n v="-48800.0"/>
        <n v="262349.99999999977"/>
        <n v="-168400.0"/>
        <n v="131699.99999999988"/>
        <n v="102749.99999999988"/>
        <n v="2626000.0"/>
        <n v="466649.99999999953"/>
        <n v="-1388000.0"/>
        <n v="158850.0"/>
        <n v="523200.0"/>
        <n v="5546000.0"/>
        <n v="72450.0"/>
        <n v="-23300.0"/>
        <n v="222749.99999999977"/>
        <n v="-1776000.0"/>
        <n v="-36850.0"/>
        <n v="109499.99999999988"/>
        <n v="-350650.0"/>
        <n v="-1484000.0"/>
        <n v="-9546000.0"/>
        <n v="-46250.0"/>
        <n v="-69600.0"/>
        <n v="-70500.0"/>
        <n v="-89750.0"/>
        <n v="783300.0"/>
        <n v="111299.99999999988"/>
        <n v="241200.0"/>
        <n v="-996000.0"/>
        <n v="192900.0"/>
        <n v="-1577000.0"/>
        <n v="352400.0"/>
        <n v="87750.0"/>
        <n v="-1243000.0"/>
        <n v="-3528000.0"/>
        <n v="-33450.0"/>
        <n v="-287500.0"/>
        <n v="-658200.0"/>
        <n v="1822800.0"/>
        <n v="-985000.0"/>
        <n v="3495200.0"/>
        <n v="-887000.0"/>
        <n v="168450.0"/>
        <n v="225600.0"/>
        <n v="530099.9999999995"/>
        <n v="-1753000.0"/>
        <n v="-526000.0"/>
        <n v="3794800.0"/>
        <n v="1051799.999999999"/>
        <n v="-770000.0"/>
        <n v="-88950.0"/>
        <n v="237749.99999999977"/>
        <n v="1498800.0"/>
        <n v="-60050.0"/>
        <n v="-26850.0"/>
        <n v="-1771000.0"/>
        <n v="548550.0"/>
        <n v="134999.99999999988"/>
        <n v="-1.4719E7"/>
        <n v="2993200.0"/>
        <n v="632800.0"/>
        <n v="-41900.0"/>
        <n v="-108900.0"/>
        <n v="212999.99999999977"/>
        <n v="-1286000.0"/>
        <n v="1516400.0"/>
        <n v="210449.99999999977"/>
        <n v="-1394000.0"/>
        <n v="500000.0"/>
        <n v="-256800.0"/>
        <n v="86100.0"/>
        <n v="-1418000.0"/>
        <n v="4983600.0"/>
        <n v="-72650.0"/>
        <n v="-791000.0"/>
        <n v="236999.99999999977"/>
        <n v="2648800.0"/>
        <n v="-34050.0"/>
        <n v="577999.9999999998"/>
        <n v="105749.99999999988"/>
        <n v="-488000.0"/>
        <n v="672000.0"/>
        <n v="-1.2688E7"/>
        <n v="709600.0"/>
        <n v="613600.0"/>
        <n v="-36750.0"/>
        <n v="-61550.0"/>
        <n v="5326400.0"/>
        <n v="-161800.0"/>
        <n v="584399.9999999998"/>
        <n v="-53800.0"/>
        <n v="-26400.0"/>
        <n v="555999.9999999998"/>
        <n v="205600.0"/>
        <n v="201200.0"/>
        <n v="-1063000.0"/>
        <n v="-150850.0"/>
        <n v="654900.0"/>
        <n v="-1289000.0"/>
        <n v="-1341000.0"/>
        <n v="-957000.0"/>
        <n v="339600.0"/>
        <n v="-601100.0"/>
        <n v="75000.0"/>
        <n v="-89250.0"/>
        <n v="373200.0"/>
        <n v="1365450.0"/>
        <n v="216149.99999999977"/>
        <n v="-47550.0"/>
        <n v="406800.0"/>
        <n v="94950.0"/>
        <n v="4006800.0"/>
        <n v="109349.99999999988"/>
        <n v="82650.0"/>
        <n v="688000.0"/>
        <n v="134399.99999999988"/>
        <n v="-1111000.0"/>
        <n v="160050.0"/>
        <n v="-45800.0"/>
        <n v="136349.99999999988"/>
        <n v="-1342000.0"/>
        <n v="-475300.0"/>
        <n v="187050.0"/>
        <n v="422800.0"/>
        <n v="1882349.9999999981"/>
        <n v="245600.0"/>
        <n v="-83750.0"/>
        <n v="-41650.0"/>
        <n v="-82100.0"/>
        <n v="235949.99999999977"/>
        <n v="977549.9999999991"/>
        <n v="-818000.0"/>
        <n v="5139200.0"/>
        <n v="428000.0"/>
        <n v="-488800.0"/>
        <n v="-66400.0"/>
        <n v="254400.0"/>
        <n v="-649000.0"/>
        <n v="-27750.0"/>
        <n v="223199.99999999977"/>
        <n v="1807200.0"/>
        <n v="-1.3357E7"/>
        <n v="464000.0"/>
        <n v="-347000.0"/>
        <n v="-109250.0"/>
        <n v="-1527000.0"/>
        <n v="186600.0"/>
        <n v="2595200.0"/>
        <n v="-25650.0"/>
        <n v="244000.0"/>
        <n v="2165999.999999998"/>
        <n v="-126000.0"/>
        <n v="-29250.0"/>
        <n v="-39450.0"/>
        <n v="-87250.0"/>
        <n v="-1312000.0"/>
        <n v="226649.99999999977"/>
        <n v="-274900.0"/>
        <n v="82200.0"/>
        <n v="-505300.0"/>
        <n v="-45750.0"/>
        <n v="361600.0"/>
        <n v="363300.0"/>
        <n v="1028999.9999999991"/>
        <n v="-1692000.0"/>
        <n v="-57500.0"/>
        <n v="3198000.0"/>
        <n v="-85750.0"/>
        <n v="522899.99999999953"/>
        <n v="258299.99999999977"/>
        <n v="490400.0"/>
        <n v="448000.0"/>
        <n v="-69250.0"/>
        <n v="139500.0"/>
        <n v="499200.0"/>
        <n v="-540200.0"/>
        <n v="5546800.0"/>
        <n v="1994699.9999999981"/>
        <n v="-8599000.0"/>
        <n v="435149.99999999953"/>
        <n v="456800.0"/>
        <n v="-633700.0"/>
        <n v="-622000.0"/>
        <n v="901049.9999999991"/>
        <n v="-41600.0"/>
        <n v="-372000.0"/>
        <n v="-427450.0"/>
        <n v="-1751000.0"/>
        <n v="-659350.0"/>
        <n v="-1.0743E7"/>
        <n v="152100.0"/>
        <n v="-34850.0"/>
        <n v="2176799.999999998"/>
        <n v="-4184000.0"/>
        <n v="-724350.0"/>
        <n v="1112399.9999999995"/>
        <n v="-32600.0"/>
        <n v="525999.9999999998"/>
        <n v="-1423000.0"/>
        <n v="-6986000.0"/>
        <n v="-55650.0"/>
        <n v="626000.0"/>
        <n v="594799.9999999998"/>
        <n v="698250.0"/>
        <n v="-1.0947E7"/>
        <n v="-81000.0"/>
        <n v="-3844000.0"/>
        <n v="-1.0481E7"/>
        <n v="90450.0"/>
        <n v="266549.99999999977"/>
        <n v="551599.9999999998"/>
        <n v="863200.0"/>
        <n v="143850.0"/>
        <n v="-6891000.0"/>
        <n v="328400.0"/>
        <n v="-751000.0"/>
        <n v="-619450.0"/>
        <n v="-27450.0"/>
        <n v="-65050.0"/>
        <n v="-531000.0"/>
        <n v="230399.99999999977"/>
        <n v="1684049.9999999981"/>
        <n v="4693599.999999998"/>
        <n v="163500.0"/>
        <n v="-1183000.0"/>
        <n v="714400.0"/>
        <n v="-1093000.0"/>
        <n v="-137500.0"/>
        <n v="-1780000.0"/>
        <n v="3472000.0"/>
        <n v="269999.9999999999"/>
        <n v="183600.0"/>
        <n v="-1530000.0"/>
        <n v="-883000.0"/>
        <n v="242399.99999999977"/>
        <n v="319200.0"/>
        <n v="1675049.9999999981"/>
        <n v="1334800.0"/>
        <n v="-36700.0"/>
        <n v="235649.99999999977"/>
        <n v="714000.0"/>
        <n v="226000.0"/>
        <n v="-83100.0"/>
        <n v="-1.4566E7"/>
        <n v="5742000.0"/>
        <n v="-338950.0"/>
        <n v="-86750.0"/>
        <n v="-1221000.0"/>
        <n v="-28500.0"/>
        <n v="-1062000.0"/>
        <n v="197549.99999999977"/>
        <n v="-5221000.0"/>
        <n v="-9981000.0"/>
        <n v="378800.0"/>
        <n v="631200.0"/>
        <n v="-61600.0"/>
        <n v="164550.0"/>
        <n v="-524050.0"/>
        <n v="-905000.0"/>
        <n v="748800.0"/>
        <n v="-36600.0"/>
        <n v="190000.0"/>
        <n v="-650000.0"/>
        <n v="348600.0"/>
        <n v="5121200.0"/>
        <n v="-560000.0"/>
        <n v="181050.0"/>
        <n v="-60900.0"/>
        <n v="-1107000.0"/>
        <n v="-49200.0"/>
        <n v="4614799.999999998"/>
        <n v="507200.0"/>
        <n v="466400.0"/>
        <n v="224849.99999999977"/>
        <n v="-743250.0"/>
        <n v="148350.0"/>
        <n v="1865600.0"/>
        <n v="-584000.0"/>
        <n v="-1408000.0"/>
        <n v="1079199.9999999995"/>
        <n v="144600.0"/>
        <n v="-748400.0"/>
        <n v="-3520000.0"/>
        <n v="655200.0"/>
        <n v="-86000.0"/>
        <n v="-26500.0"/>
        <n v="-190250.0"/>
        <n v="-75650.0"/>
        <n v="-480000.0"/>
        <n v="447200.0"/>
        <n v="702800.0"/>
        <n v="-23650.0"/>
        <n v="-41950.0"/>
        <n v="-1569000.0"/>
        <n v="119999.99999999988"/>
        <n v="-1354000.0"/>
        <n v="-1506000.0"/>
        <n v="-71100.0"/>
        <n v="-962000.0"/>
        <n v="77850.0"/>
        <n v="1144950.0"/>
        <n v="121349.99999999988"/>
        <n v="-528950.0"/>
        <n v="353200.0"/>
        <n v="-894000.0"/>
        <n v="249449.99999999977"/>
        <n v="1560300.0"/>
        <n v="218000.0"/>
        <n v="192150.0"/>
        <n v="-1.1743E7"/>
        <n v="533999.9999999998"/>
        <n v="2019899.9999999981"/>
        <n v="427600.0"/>
        <n v="-519000.0"/>
        <n v="-1.0708E7"/>
        <n v="230999.99999999977"/>
        <n v="4361999.999999998"/>
        <n v="-666650.0"/>
        <n v="-82800.0"/>
        <n v="3752400.0"/>
        <n v="448400.0"/>
        <n v="-1769000.0"/>
        <n v="-161850.0"/>
        <n v="115649.99999999988"/>
        <n v="490000.0"/>
        <n v="75450.0"/>
        <n v="5782800.0"/>
        <n v="513600.0"/>
        <n v="-53750.0"/>
        <n v="-29050.0"/>
        <n v="-217650.0"/>
        <n v="159750.0"/>
        <n v="-2634000.0"/>
        <n v="-1.1372E7"/>
        <n v="-1739000.0"/>
        <n v="76200.0"/>
        <n v="-733000.0"/>
        <n v="5984800.0"/>
        <n v="182100.0"/>
        <n v="-1772000.0"/>
        <n v="472400.0"/>
        <n v="189300.0"/>
        <n v="-1573000.0"/>
        <n v="896099.9999999991"/>
        <n v="5347200.0"/>
        <n v="-58150.0"/>
        <n v="-373200.0"/>
        <n v="-35500.0"/>
        <n v="185200.0"/>
        <n v="-1.1009E7"/>
        <n v="-1315000.0"/>
        <n v="119849.99999999988"/>
        <n v="-69300.0"/>
        <n v="417600.0"/>
        <n v="-30450.0"/>
        <n v="-83550.0"/>
        <n v="-4820000.0"/>
        <n v="246800.0"/>
        <n v="416400.0"/>
        <n v="287999.9999999999"/>
        <n v="233549.99999999977"/>
        <n v="-621000.0"/>
        <n v="-52350.0"/>
        <n v="-53450.0"/>
        <n v="377600.0"/>
        <n v="254249.99999999977"/>
        <n v="-2904000.0"/>
        <n v="-690000.0"/>
        <n v="-1.1064E7"/>
        <n v="288799.9999999999"/>
        <n v="214349.99999999977"/>
        <n v="241649.99999999977"/>
        <n v="-188950.0"/>
        <n v="128099.99999999988"/>
        <n v="-1.0707E7"/>
        <n v="2131499.999999998"/>
        <n v="301600.0"/>
        <n v="149100.0"/>
        <n v="3657600.0"/>
        <n v="508400.0"/>
        <n v="-23950.0"/>
        <n v="-505000.0"/>
        <n v="174000.0"/>
        <n v="-1670000.0"/>
        <n v="104099.99999999988"/>
        <n v="686400.0"/>
        <n v="567199.9999999998"/>
        <n v="1926449.9999999981"/>
        <n v="206800.0"/>
        <n v="199199.99999999977"/>
        <n v="-259200.0"/>
        <n v="-77950.0"/>
        <n v="-424950.0"/>
        <n v="206400.0"/>
        <n v="106199.99999999988"/>
        <n v="774300.0"/>
        <n v="-2144000.0"/>
        <n v="-1.4738E7"/>
        <n v="2198550.0"/>
        <n v="5234800.0"/>
        <n v="1538000.0"/>
        <n v="-9985000.0"/>
        <n v="-6814000.0"/>
        <n v="3846000.0"/>
        <n v="1528800.0"/>
        <n v="-5603000.0"/>
        <n v="482699.99999999953"/>
        <n v="-531400.0"/>
        <n v="-500400.0"/>
        <n v="-4392000.0"/>
        <n v="2128949.999999998"/>
        <n v="1590599.9999999981"/>
        <n v="843599.9999999991"/>
        <n v="-218650.0"/>
        <n v="3187600.0"/>
        <n v="-454550.0"/>
        <n v="1016800.0"/>
        <n v="-126450.0"/>
        <n v="-4399000.0"/>
        <n v="1931200.0"/>
        <n v="-171150.0"/>
      </sharedItems>
    </cacheField>
    <cacheField name="RESOLUTION TYPE" numFmtId="0">
      <sharedItems>
        <s v="Issued"/>
        <s v="Refund"/>
      </sharedItems>
    </cacheField>
    <cacheField name="LOSS/PROFIT" numFmtId="0">
      <sharedItems>
        <s v="LOSS"/>
        <s v="PROFIT"/>
        <s v="N/A"/>
      </sharedItems>
    </cacheField>
    <cacheField name="Cat Flag" numFmtId="0">
      <sharedItems containsSemiMixedTypes="0" containsString="0" containsNumber="1" containsInteger="1">
        <n v="1.0"/>
        <n v="0.0"/>
      </sharedItems>
    </cacheField>
    <cacheField name="Loss / Profit Flag" numFmtId="0">
      <sharedItems containsSemiMixedTypes="0" containsString="0" containsNumber="1" containsInteger="1">
        <n v="0.0"/>
        <n v="1.0"/>
      </sharedItems>
    </cacheField>
    <cacheField name="Refund Flag" numFmtId="0">
      <sharedItems containsSemiMixedTypes="0" containsString="0" containsNumber="1" containsInteger="1">
        <n v="0.0"/>
        <n v="1.0"/>
      </sharedItems>
    </cacheField>
    <cacheField name="Calculated Field 1" formula="'INTIAL FARE'-'ACTUAL FARE'" databaseField="0"/>
    <cacheField name="calculated field 12" formula="'ACTUAL FARE'- 'INTIAL FARE'" databaseField="0"/>
    <cacheField name="calculated field 13" formula="'INTIAL FARE'+'COST OF REFUND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E16" firstHeaderRow="0" firstDataRow="2" firstDataCol="0" rowPageCount="1" colPageCount="1"/>
  <pivotFields>
    <pivotField name="BOOKING NUMBER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axis="axisPage" compact="0" outline="0" multipleItemSelectionAllowed="1" showAll="0">
      <items>
        <item x="0"/>
        <item x="1"/>
        <item h="1" x="2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pageFields>
    <pageField fld="14"/>
  </pageFields>
  <dataFields>
    <dataField name="SUM of INTIAL FARE" fld="7" baseField="0"/>
    <dataField name="SUM of ACTUAL FARE" fld="8" baseField="0"/>
    <dataField name="SUM of Calculated Field 1" fld="18" baseField="0"/>
    <dataField name="COUNTA of BOOKING NUMBER 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G1:J4" firstHeaderRow="0" firstDataRow="2" firstDataCol="0"/>
  <pivotFields>
    <pivotField name="BOOKING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axis="axisRow" compact="0" outline="0" multipleItemSelectionAllowed="1" showAll="0" sortType="ascending">
      <items>
        <item x="0"/>
        <item h="1" x="2"/>
        <item x="1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4"/>
  </rowFields>
  <colFields>
    <field x="-2"/>
  </colFields>
  <dataFields>
    <dataField name="SUM of INTIAL FARE" fld="7" baseField="0"/>
    <dataField name="SUM of ACTUAL FARE" fld="8" baseField="0"/>
    <dataField name="SUM of Calculated Field 1" fld="18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L5:L6" firstHeaderRow="0" firstDataRow="0" firstDataCol="0" rowPageCount="2" colPageCount="1"/>
  <pivotFields>
    <pivotField name="BOOKING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axis="axisPage" compact="0" outline="0" multipleItemSelectionAllowed="1" showAll="0">
      <items>
        <item x="0"/>
        <item h="1" x="1"/>
        <item h="1" x="2"/>
        <item t="default"/>
      </items>
    </pivotField>
    <pivotField name="COST OF REFUN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compact="0" outline="0" multipleItemSelectionAllowed="1" showAll="0">
      <items>
        <item x="0"/>
        <item x="1"/>
        <item x="2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pageFields>
    <pageField fld="5"/>
    <pageField fld="11"/>
  </pageFields>
  <dataFields>
    <dataField name="SUM of COST OF REFUND" fld="12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G8:H15" firstHeaderRow="0" firstDataRow="1" firstDataCol="0"/>
  <pivotFields>
    <pivotField name="BOOKING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UTE 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compact="0" outline="0" multipleItemSelectionAllowed="1" showAll="0">
      <items>
        <item x="0"/>
        <item x="1"/>
        <item x="2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3"/>
  </rowFields>
  <dataFields>
    <dataField name="COUNTA of AIRLINE GROUPING" fld="6" subtotal="count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lGrandTotals="0" compact="0" compactData="0">
  <location ref="A20:I35" firstHeaderRow="0" firstDataRow="2" firstDataCol="1"/>
  <pivotFields>
    <pivotField name="BOOKING NUMBER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axis="axisRow" compact="0" numFmtId="1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axis="axisCol" compact="0" outline="0" multipleItemSelectionAllowed="1" showAll="0" sortType="descending">
      <items>
        <item x="1"/>
        <item h="1" x="2"/>
        <item x="0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14"/>
    <field x="-2"/>
  </colFields>
  <dataFields>
    <dataField name=" INTIAL FARE" fld="7" baseField="0"/>
    <dataField name="ACTUAL FARE" fld="8" baseField="0"/>
    <dataField name="TOTAL BOOKING " fld="0" subtotal="count" baseField="0"/>
    <dataField name="SUM of calculated field 12" fld="19" baseField="0"/>
  </dataFields>
</pivotTableDefinition>
</file>

<file path=xl/pivotTables/pivotTable6.xml><?xml version="1.0" encoding="utf-8"?>
<pivotTableDefinition xmlns="http://schemas.openxmlformats.org/spreadsheetml/2006/main" name="DASHBOARD" cacheId="0" dataCaption="" compact="0" compactData="0">
  <location ref="A7:C11" firstHeaderRow="0" firstDataRow="2" firstDataCol="0"/>
  <pivotFields>
    <pivotField name="BOOKING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axis="axisRow" compact="0" outline="0" multipleItemSelectionAllowed="1" showAll="0" sortType="ascending">
      <items>
        <item x="0"/>
        <item x="2"/>
        <item x="1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4"/>
  </rowFields>
  <colFields>
    <field x="-2"/>
  </colFields>
  <dataFields>
    <dataField name="SUM of ACTUAL FARE" fld="8" baseField="0"/>
    <dataField name="%" fld="8" showDataAs="percentOfCol" baseField="0" numFmtId="10"/>
  </dataFields>
</pivotTableDefinition>
</file>

<file path=xl/pivotTables/pivotTable7.xml><?xml version="1.0" encoding="utf-8"?>
<pivotTableDefinition xmlns="http://schemas.openxmlformats.org/spreadsheetml/2006/main" name="DASHBOARD 2" cacheId="0" dataCaption="" compact="0" compactData="0">
  <location ref="A50:E63" firstHeaderRow="0" firstDataRow="2" firstDataCol="0" rowPageCount="1" colPageCount="1"/>
  <pivotFields>
    <pivotField name="BOOKING NUMBER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t="default"/>
      </items>
    </pivotField>
    <pivotField name="DEPARTUR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MONTH TREND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ROUTE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IFICATION" compact="0" outline="0" multipleItemSelectionAllowed="1" showAll="0">
      <items>
        <item x="0"/>
        <item x="1"/>
        <item t="default"/>
      </items>
    </pivotField>
    <pivotField name="AIR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AIRLINE GROU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I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ACTUAL FAR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FARE DIFFEREN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MARK UP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COST OF REFUN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RESOLUTION TYPE" compact="0" outline="0" multipleItemSelectionAllowed="1" showAll="0">
      <items>
        <item x="0"/>
        <item x="1"/>
        <item t="default"/>
      </items>
    </pivotField>
    <pivotField name="LOSS/PROFIT" axis="axisPage" compact="0" outline="0" multipleItemSelectionAllowed="1" showAll="0">
      <items>
        <item x="0"/>
        <item x="1"/>
        <item h="1" x="2"/>
        <item t="default"/>
      </items>
    </pivotField>
    <pivotField name="Cat Flag" compact="0" outline="0" multipleItemSelectionAllowed="1" showAll="0">
      <items>
        <item x="0"/>
        <item x="1"/>
        <item t="default"/>
      </items>
    </pivotField>
    <pivotField name="Loss / Profit Flag" compact="0" outline="0" multipleItemSelectionAllowed="1" showAll="0">
      <items>
        <item x="0"/>
        <item x="1"/>
        <item t="default"/>
      </items>
    </pivotField>
    <pivotField name="Refund Flag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pageFields>
    <pageField fld="14"/>
  </pageFields>
  <dataFields>
    <dataField name="TOTAL BOOKING" fld="0" subtotal="count" baseField="0"/>
    <dataField name="SUM of Calculated Field 1" fld="18" baseField="0"/>
    <dataField name="SUM of INTIAL FARE" fld="7" baseField="0"/>
    <dataField name="SUM of ACTUAL FA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0"/>
    <col customWidth="1" min="3" max="4" width="14.88"/>
    <col customWidth="1" min="5" max="5" width="1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4">
        <v>46360.0</v>
      </c>
      <c r="C2" s="3" t="s">
        <v>10</v>
      </c>
      <c r="D2" s="3" t="s">
        <v>11</v>
      </c>
      <c r="E2" s="3" t="s">
        <v>12</v>
      </c>
      <c r="F2" s="3">
        <v>1155000.0</v>
      </c>
      <c r="G2" s="3">
        <v>1328250.0</v>
      </c>
      <c r="H2" s="3" t="str">
        <f t="shared" ref="H2:H551" si="1">IFS(G28&lt;=F28, "Normal", G28&lt;=(F28*2), "Fare Increase", TRUE, "Over Buffer")</f>
        <v>Normal</v>
      </c>
      <c r="I2" s="3" t="str">
        <f t="shared" ref="I2:I551" si="2">IFS(OR(H2="Fare Increase", H2="Normal"), "Issued", H2="Over Buffer", "Refund", H2="Refund", "N/A")</f>
        <v>Issued</v>
      </c>
    </row>
    <row r="3">
      <c r="A3" s="3" t="s">
        <v>13</v>
      </c>
      <c r="B3" s="4">
        <v>46256.0</v>
      </c>
      <c r="C3" s="3" t="s">
        <v>14</v>
      </c>
      <c r="D3" s="3" t="s">
        <v>15</v>
      </c>
      <c r="E3" s="3" t="s">
        <v>16</v>
      </c>
      <c r="F3" s="3">
        <v>2034000.0</v>
      </c>
      <c r="G3" s="3">
        <v>2847600.0</v>
      </c>
      <c r="H3" s="3" t="str">
        <f t="shared" si="1"/>
        <v>Over Buffer</v>
      </c>
      <c r="I3" s="3" t="str">
        <f t="shared" si="2"/>
        <v>Refund</v>
      </c>
    </row>
    <row r="4">
      <c r="A4" s="3" t="s">
        <v>17</v>
      </c>
      <c r="B4" s="4">
        <v>46124.0</v>
      </c>
      <c r="C4" s="3" t="s">
        <v>18</v>
      </c>
      <c r="D4" s="3" t="s">
        <v>11</v>
      </c>
      <c r="E4" s="3" t="s">
        <v>19</v>
      </c>
      <c r="F4" s="3">
        <v>820000.0</v>
      </c>
      <c r="G4" s="3">
        <v>1148000.0</v>
      </c>
      <c r="H4" s="3" t="str">
        <f t="shared" si="1"/>
        <v>Fare Increase</v>
      </c>
      <c r="I4" s="3" t="str">
        <f t="shared" si="2"/>
        <v>Issued</v>
      </c>
    </row>
    <row r="5">
      <c r="A5" s="3" t="s">
        <v>20</v>
      </c>
      <c r="B5" s="4">
        <v>46148.0</v>
      </c>
      <c r="C5" s="3" t="s">
        <v>10</v>
      </c>
      <c r="D5" s="3" t="s">
        <v>11</v>
      </c>
      <c r="E5" s="3" t="s">
        <v>21</v>
      </c>
      <c r="F5" s="3">
        <v>1.3901E7</v>
      </c>
      <c r="G5" s="3">
        <v>1.5986149999999998E7</v>
      </c>
      <c r="H5" s="3" t="str">
        <f t="shared" si="1"/>
        <v>Normal</v>
      </c>
      <c r="I5" s="3" t="str">
        <f t="shared" si="2"/>
        <v>Issued</v>
      </c>
    </row>
    <row r="6">
      <c r="A6" s="3" t="s">
        <v>22</v>
      </c>
      <c r="B6" s="4">
        <v>46239.0</v>
      </c>
      <c r="C6" s="3" t="s">
        <v>23</v>
      </c>
      <c r="D6" s="3" t="s">
        <v>15</v>
      </c>
      <c r="E6" s="3" t="s">
        <v>19</v>
      </c>
      <c r="F6" s="3">
        <v>4195000.0</v>
      </c>
      <c r="G6" s="3">
        <v>4824250.0</v>
      </c>
      <c r="H6" s="3" t="str">
        <f t="shared" si="1"/>
        <v>Fare Increase</v>
      </c>
      <c r="I6" s="3" t="str">
        <f t="shared" si="2"/>
        <v>Issued</v>
      </c>
    </row>
    <row r="7">
      <c r="A7" s="3" t="s">
        <v>24</v>
      </c>
      <c r="B7" s="4">
        <v>46079.0</v>
      </c>
      <c r="C7" s="3" t="s">
        <v>25</v>
      </c>
      <c r="D7" s="3" t="s">
        <v>15</v>
      </c>
      <c r="E7" s="3" t="s">
        <v>26</v>
      </c>
      <c r="F7" s="3">
        <v>1635000.0</v>
      </c>
      <c r="G7" s="3">
        <v>2289000.0</v>
      </c>
      <c r="H7" s="3" t="str">
        <f t="shared" si="1"/>
        <v>Normal</v>
      </c>
      <c r="I7" s="3" t="str">
        <f t="shared" si="2"/>
        <v>Issued</v>
      </c>
    </row>
    <row r="8">
      <c r="A8" s="3" t="s">
        <v>27</v>
      </c>
      <c r="B8" s="4">
        <v>46140.0</v>
      </c>
      <c r="C8" s="3" t="s">
        <v>10</v>
      </c>
      <c r="D8" s="3" t="s">
        <v>11</v>
      </c>
      <c r="E8" s="3" t="s">
        <v>19</v>
      </c>
      <c r="F8" s="3">
        <v>927000.0</v>
      </c>
      <c r="G8" s="3">
        <v>1297800.0</v>
      </c>
      <c r="H8" s="3" t="str">
        <f t="shared" si="1"/>
        <v>Normal</v>
      </c>
      <c r="I8" s="3" t="str">
        <f t="shared" si="2"/>
        <v>Issued</v>
      </c>
    </row>
    <row r="9">
      <c r="A9" s="3" t="s">
        <v>28</v>
      </c>
      <c r="B9" s="4">
        <v>46283.0</v>
      </c>
      <c r="C9" s="3" t="s">
        <v>10</v>
      </c>
      <c r="D9" s="3" t="s">
        <v>11</v>
      </c>
      <c r="E9" s="3" t="s">
        <v>12</v>
      </c>
      <c r="F9" s="3">
        <v>1705000.0</v>
      </c>
      <c r="G9" s="3">
        <v>1619750.0</v>
      </c>
      <c r="H9" s="3" t="str">
        <f t="shared" si="1"/>
        <v>Normal</v>
      </c>
      <c r="I9" s="3" t="str">
        <f t="shared" si="2"/>
        <v>Issued</v>
      </c>
    </row>
    <row r="10">
      <c r="A10" s="3" t="s">
        <v>29</v>
      </c>
      <c r="B10" s="4">
        <v>46091.0</v>
      </c>
      <c r="C10" s="3" t="s">
        <v>30</v>
      </c>
      <c r="D10" s="3" t="s">
        <v>15</v>
      </c>
      <c r="E10" s="3" t="s">
        <v>31</v>
      </c>
      <c r="F10" s="3">
        <v>1379000.0</v>
      </c>
      <c r="G10" s="3">
        <v>1310050.0</v>
      </c>
      <c r="H10" s="3" t="str">
        <f t="shared" si="1"/>
        <v>Over Buffer</v>
      </c>
      <c r="I10" s="3" t="str">
        <f t="shared" si="2"/>
        <v>Refund</v>
      </c>
    </row>
    <row r="11">
      <c r="A11" s="3" t="s">
        <v>32</v>
      </c>
      <c r="B11" s="4">
        <v>46384.0</v>
      </c>
      <c r="C11" s="3" t="s">
        <v>23</v>
      </c>
      <c r="D11" s="3" t="s">
        <v>15</v>
      </c>
      <c r="E11" s="3" t="s">
        <v>33</v>
      </c>
      <c r="F11" s="3">
        <v>9500000.0</v>
      </c>
      <c r="G11" s="3">
        <v>2.375E7</v>
      </c>
      <c r="H11" s="3" t="str">
        <f t="shared" si="1"/>
        <v>Over Buffer</v>
      </c>
      <c r="I11" s="3" t="str">
        <f t="shared" si="2"/>
        <v>Refund</v>
      </c>
    </row>
    <row r="12">
      <c r="A12" s="3" t="s">
        <v>34</v>
      </c>
      <c r="B12" s="4">
        <v>46162.0</v>
      </c>
      <c r="C12" s="3" t="s">
        <v>10</v>
      </c>
      <c r="D12" s="3" t="s">
        <v>11</v>
      </c>
      <c r="E12" s="3" t="s">
        <v>35</v>
      </c>
      <c r="F12" s="3">
        <v>8587000.0</v>
      </c>
      <c r="G12" s="3">
        <v>9875050.0</v>
      </c>
      <c r="H12" s="3" t="str">
        <f t="shared" si="1"/>
        <v>Over Buffer</v>
      </c>
      <c r="I12" s="3" t="str">
        <f t="shared" si="2"/>
        <v>Refund</v>
      </c>
    </row>
    <row r="13">
      <c r="A13" s="3" t="s">
        <v>36</v>
      </c>
      <c r="B13" s="4">
        <v>46380.0</v>
      </c>
      <c r="C13" s="3" t="s">
        <v>14</v>
      </c>
      <c r="D13" s="3" t="s">
        <v>15</v>
      </c>
      <c r="E13" s="3" t="s">
        <v>37</v>
      </c>
      <c r="F13" s="3">
        <v>7828000.0</v>
      </c>
      <c r="G13" s="3">
        <v>9002200.0</v>
      </c>
      <c r="H13" s="3" t="str">
        <f t="shared" si="1"/>
        <v>Normal</v>
      </c>
      <c r="I13" s="3" t="str">
        <f t="shared" si="2"/>
        <v>Issued</v>
      </c>
    </row>
    <row r="14">
      <c r="A14" s="3" t="s">
        <v>38</v>
      </c>
      <c r="B14" s="4">
        <v>46367.0</v>
      </c>
      <c r="C14" s="3" t="s">
        <v>18</v>
      </c>
      <c r="D14" s="3" t="s">
        <v>11</v>
      </c>
      <c r="E14" s="3" t="s">
        <v>19</v>
      </c>
      <c r="F14" s="3">
        <v>918000.0</v>
      </c>
      <c r="G14" s="3">
        <v>1055700.0</v>
      </c>
      <c r="H14" s="3" t="str">
        <f t="shared" si="1"/>
        <v>Over Buffer</v>
      </c>
      <c r="I14" s="3" t="str">
        <f t="shared" si="2"/>
        <v>Refund</v>
      </c>
    </row>
    <row r="15">
      <c r="A15" s="3" t="s">
        <v>39</v>
      </c>
      <c r="B15" s="4">
        <v>46367.0</v>
      </c>
      <c r="C15" s="3" t="s">
        <v>25</v>
      </c>
      <c r="D15" s="3" t="s">
        <v>15</v>
      </c>
      <c r="E15" s="3" t="s">
        <v>26</v>
      </c>
      <c r="F15" s="3">
        <v>1541000.0</v>
      </c>
      <c r="G15" s="3">
        <v>3852500.0</v>
      </c>
      <c r="H15" s="3" t="str">
        <f t="shared" si="1"/>
        <v>Normal</v>
      </c>
      <c r="I15" s="3" t="str">
        <f t="shared" si="2"/>
        <v>Issued</v>
      </c>
    </row>
    <row r="16">
      <c r="A16" s="3" t="s">
        <v>40</v>
      </c>
      <c r="B16" s="4">
        <v>46099.0</v>
      </c>
      <c r="C16" s="3" t="s">
        <v>23</v>
      </c>
      <c r="D16" s="3" t="s">
        <v>15</v>
      </c>
      <c r="E16" s="3" t="s">
        <v>31</v>
      </c>
      <c r="F16" s="3">
        <v>4797000.0</v>
      </c>
      <c r="G16" s="3">
        <v>4557150.0</v>
      </c>
      <c r="H16" s="3" t="str">
        <f t="shared" si="1"/>
        <v>Normal</v>
      </c>
      <c r="I16" s="3" t="str">
        <f t="shared" si="2"/>
        <v>Issued</v>
      </c>
    </row>
    <row r="17">
      <c r="A17" s="3" t="s">
        <v>41</v>
      </c>
      <c r="B17" s="4">
        <v>46045.0</v>
      </c>
      <c r="C17" s="3" t="s">
        <v>25</v>
      </c>
      <c r="D17" s="3" t="s">
        <v>15</v>
      </c>
      <c r="E17" s="3" t="s">
        <v>42</v>
      </c>
      <c r="F17" s="3">
        <v>5512000.0</v>
      </c>
      <c r="G17" s="3">
        <v>5236400.0</v>
      </c>
      <c r="H17" s="3" t="str">
        <f t="shared" si="1"/>
        <v>Normal</v>
      </c>
      <c r="I17" s="3" t="str">
        <f t="shared" si="2"/>
        <v>Issued</v>
      </c>
    </row>
    <row r="18">
      <c r="A18" s="3" t="s">
        <v>43</v>
      </c>
      <c r="B18" s="4">
        <v>46168.0</v>
      </c>
      <c r="C18" s="3" t="s">
        <v>30</v>
      </c>
      <c r="D18" s="3" t="s">
        <v>15</v>
      </c>
      <c r="E18" s="3" t="s">
        <v>16</v>
      </c>
      <c r="F18" s="3">
        <v>1765000.0</v>
      </c>
      <c r="G18" s="3">
        <v>2029749.9999999998</v>
      </c>
      <c r="H18" s="3" t="str">
        <f t="shared" si="1"/>
        <v>Over Buffer</v>
      </c>
      <c r="I18" s="3" t="str">
        <f t="shared" si="2"/>
        <v>Refund</v>
      </c>
    </row>
    <row r="19">
      <c r="A19" s="3" t="s">
        <v>44</v>
      </c>
      <c r="B19" s="4">
        <v>46237.0</v>
      </c>
      <c r="C19" s="3" t="s">
        <v>25</v>
      </c>
      <c r="D19" s="3" t="s">
        <v>15</v>
      </c>
      <c r="E19" s="3" t="s">
        <v>42</v>
      </c>
      <c r="F19" s="3">
        <v>510000.0</v>
      </c>
      <c r="G19" s="3">
        <v>1275000.0</v>
      </c>
      <c r="H19" s="3" t="str">
        <f t="shared" si="1"/>
        <v>Fare Increase</v>
      </c>
      <c r="I19" s="3" t="str">
        <f t="shared" si="2"/>
        <v>Issued</v>
      </c>
    </row>
    <row r="20">
      <c r="A20" s="3" t="s">
        <v>45</v>
      </c>
      <c r="B20" s="4">
        <v>46097.0</v>
      </c>
      <c r="C20" s="3" t="s">
        <v>18</v>
      </c>
      <c r="D20" s="3" t="s">
        <v>11</v>
      </c>
      <c r="E20" s="3" t="s">
        <v>35</v>
      </c>
      <c r="F20" s="3">
        <v>1772000.0</v>
      </c>
      <c r="G20" s="3">
        <v>2037799.9999999998</v>
      </c>
      <c r="H20" s="3" t="str">
        <f t="shared" si="1"/>
        <v>Fare Increase</v>
      </c>
      <c r="I20" s="3" t="str">
        <f t="shared" si="2"/>
        <v>Issued</v>
      </c>
    </row>
    <row r="21">
      <c r="A21" s="3" t="s">
        <v>46</v>
      </c>
      <c r="B21" s="4">
        <v>46316.0</v>
      </c>
      <c r="C21" s="3" t="s">
        <v>14</v>
      </c>
      <c r="D21" s="3" t="s">
        <v>15</v>
      </c>
      <c r="E21" s="3" t="s">
        <v>16</v>
      </c>
      <c r="F21" s="3">
        <v>877000.0</v>
      </c>
      <c r="G21" s="3">
        <v>1227800.0</v>
      </c>
      <c r="H21" s="3" t="str">
        <f t="shared" si="1"/>
        <v>Fare Increase</v>
      </c>
      <c r="I21" s="3" t="str">
        <f t="shared" si="2"/>
        <v>Issued</v>
      </c>
    </row>
    <row r="22">
      <c r="A22" s="3" t="s">
        <v>47</v>
      </c>
      <c r="B22" s="4">
        <v>46300.0</v>
      </c>
      <c r="C22" s="3" t="s">
        <v>23</v>
      </c>
      <c r="D22" s="3" t="s">
        <v>15</v>
      </c>
      <c r="E22" s="3" t="s">
        <v>31</v>
      </c>
      <c r="F22" s="3">
        <v>718000.0</v>
      </c>
      <c r="G22" s="3">
        <v>1005199.9999999999</v>
      </c>
      <c r="H22" s="3" t="str">
        <f t="shared" si="1"/>
        <v>Normal</v>
      </c>
      <c r="I22" s="3" t="str">
        <f t="shared" si="2"/>
        <v>Issued</v>
      </c>
    </row>
    <row r="23">
      <c r="A23" s="3" t="s">
        <v>48</v>
      </c>
      <c r="B23" s="4">
        <v>46168.0</v>
      </c>
      <c r="C23" s="3" t="s">
        <v>30</v>
      </c>
      <c r="D23" s="3" t="s">
        <v>15</v>
      </c>
      <c r="E23" s="3" t="s">
        <v>49</v>
      </c>
      <c r="F23" s="3">
        <v>1589000.0</v>
      </c>
      <c r="G23" s="3">
        <v>2224600.0</v>
      </c>
      <c r="H23" s="3" t="str">
        <f t="shared" si="1"/>
        <v>Fare Increase</v>
      </c>
      <c r="I23" s="3" t="str">
        <f t="shared" si="2"/>
        <v>Issued</v>
      </c>
    </row>
    <row r="24">
      <c r="A24" s="3" t="s">
        <v>50</v>
      </c>
      <c r="B24" s="4">
        <v>46040.0</v>
      </c>
      <c r="C24" s="3" t="s">
        <v>10</v>
      </c>
      <c r="D24" s="3" t="s">
        <v>11</v>
      </c>
      <c r="E24" s="3" t="s">
        <v>21</v>
      </c>
      <c r="F24" s="3">
        <v>725000.0</v>
      </c>
      <c r="G24" s="3">
        <v>688750.0</v>
      </c>
      <c r="H24" s="3" t="str">
        <f t="shared" si="1"/>
        <v>Fare Increase</v>
      </c>
      <c r="I24" s="3" t="str">
        <f t="shared" si="2"/>
        <v>Issued</v>
      </c>
    </row>
    <row r="25">
      <c r="A25" s="3" t="s">
        <v>51</v>
      </c>
      <c r="B25" s="4">
        <v>46156.0</v>
      </c>
      <c r="C25" s="3" t="s">
        <v>23</v>
      </c>
      <c r="D25" s="3" t="s">
        <v>15</v>
      </c>
      <c r="E25" s="3" t="s">
        <v>33</v>
      </c>
      <c r="F25" s="3">
        <v>9682000.0</v>
      </c>
      <c r="G25" s="3">
        <v>1.11343E7</v>
      </c>
      <c r="H25" s="3" t="str">
        <f t="shared" si="1"/>
        <v>Fare Increase</v>
      </c>
      <c r="I25" s="3" t="str">
        <f t="shared" si="2"/>
        <v>Issued</v>
      </c>
    </row>
    <row r="26">
      <c r="A26" s="3" t="s">
        <v>52</v>
      </c>
      <c r="B26" s="4">
        <v>46048.0</v>
      </c>
      <c r="C26" s="3" t="s">
        <v>10</v>
      </c>
      <c r="D26" s="3" t="s">
        <v>11</v>
      </c>
      <c r="E26" s="3" t="s">
        <v>12</v>
      </c>
      <c r="F26" s="3">
        <v>1171000.0</v>
      </c>
      <c r="G26" s="3">
        <v>1639400.0</v>
      </c>
      <c r="H26" s="3" t="str">
        <f t="shared" si="1"/>
        <v>Over Buffer</v>
      </c>
      <c r="I26" s="3" t="str">
        <f t="shared" si="2"/>
        <v>Refund</v>
      </c>
    </row>
    <row r="27">
      <c r="A27" s="3" t="s">
        <v>53</v>
      </c>
      <c r="B27" s="4">
        <v>46074.0</v>
      </c>
      <c r="C27" s="3" t="s">
        <v>23</v>
      </c>
      <c r="D27" s="3" t="s">
        <v>15</v>
      </c>
      <c r="E27" s="3" t="s">
        <v>31</v>
      </c>
      <c r="F27" s="3">
        <v>1415000.0</v>
      </c>
      <c r="G27" s="3">
        <v>1627249.9999999998</v>
      </c>
      <c r="H27" s="3" t="str">
        <f t="shared" si="1"/>
        <v>Normal</v>
      </c>
      <c r="I27" s="3" t="str">
        <f t="shared" si="2"/>
        <v>Issued</v>
      </c>
    </row>
    <row r="28">
      <c r="A28" s="3" t="s">
        <v>54</v>
      </c>
      <c r="B28" s="4">
        <v>46353.0</v>
      </c>
      <c r="C28" s="3" t="s">
        <v>23</v>
      </c>
      <c r="D28" s="3" t="s">
        <v>15</v>
      </c>
      <c r="E28" s="3" t="s">
        <v>33</v>
      </c>
      <c r="F28" s="3">
        <v>1005000.0</v>
      </c>
      <c r="G28" s="3">
        <v>954750.0</v>
      </c>
      <c r="H28" s="3" t="str">
        <f t="shared" si="1"/>
        <v>Over Buffer</v>
      </c>
      <c r="I28" s="3" t="str">
        <f t="shared" si="2"/>
        <v>Refund</v>
      </c>
    </row>
    <row r="29">
      <c r="A29" s="3" t="s">
        <v>55</v>
      </c>
      <c r="B29" s="4">
        <v>46139.0</v>
      </c>
      <c r="C29" s="3" t="s">
        <v>18</v>
      </c>
      <c r="D29" s="3" t="s">
        <v>11</v>
      </c>
      <c r="E29" s="3" t="s">
        <v>12</v>
      </c>
      <c r="F29" s="3">
        <v>1.37E7</v>
      </c>
      <c r="G29" s="3">
        <v>3.425E7</v>
      </c>
      <c r="H29" s="3" t="str">
        <f t="shared" si="1"/>
        <v>Fare Increase</v>
      </c>
      <c r="I29" s="3" t="str">
        <f t="shared" si="2"/>
        <v>Issued</v>
      </c>
    </row>
    <row r="30">
      <c r="A30" s="3" t="s">
        <v>56</v>
      </c>
      <c r="B30" s="4">
        <v>46297.0</v>
      </c>
      <c r="C30" s="3" t="s">
        <v>30</v>
      </c>
      <c r="D30" s="3" t="s">
        <v>15</v>
      </c>
      <c r="E30" s="3" t="s">
        <v>21</v>
      </c>
      <c r="F30" s="3">
        <v>942000.0</v>
      </c>
      <c r="G30" s="3">
        <v>1318800.0</v>
      </c>
      <c r="H30" s="3" t="str">
        <f t="shared" si="1"/>
        <v>Normal</v>
      </c>
      <c r="I30" s="3" t="str">
        <f t="shared" si="2"/>
        <v>Issued</v>
      </c>
    </row>
    <row r="31">
      <c r="A31" s="3" t="s">
        <v>57</v>
      </c>
      <c r="B31" s="4">
        <v>46082.0</v>
      </c>
      <c r="C31" s="3" t="s">
        <v>10</v>
      </c>
      <c r="D31" s="3" t="s">
        <v>11</v>
      </c>
      <c r="E31" s="3" t="s">
        <v>19</v>
      </c>
      <c r="F31" s="3">
        <v>1635000.0</v>
      </c>
      <c r="G31" s="3">
        <v>1553250.0</v>
      </c>
      <c r="H31" s="3" t="str">
        <f t="shared" si="1"/>
        <v>Fare Increase</v>
      </c>
      <c r="I31" s="3" t="str">
        <f t="shared" si="2"/>
        <v>Issued</v>
      </c>
    </row>
    <row r="32">
      <c r="A32" s="3" t="s">
        <v>58</v>
      </c>
      <c r="B32" s="4">
        <v>46351.0</v>
      </c>
      <c r="C32" s="3" t="s">
        <v>10</v>
      </c>
      <c r="D32" s="3" t="s">
        <v>11</v>
      </c>
      <c r="E32" s="3" t="s">
        <v>12</v>
      </c>
      <c r="F32" s="3">
        <v>584000.0</v>
      </c>
      <c r="G32" s="3">
        <v>817600.0</v>
      </c>
      <c r="H32" s="3" t="str">
        <f t="shared" si="1"/>
        <v>Fare Increase</v>
      </c>
      <c r="I32" s="3" t="str">
        <f t="shared" si="2"/>
        <v>Issued</v>
      </c>
    </row>
    <row r="33">
      <c r="A33" s="3" t="s">
        <v>59</v>
      </c>
      <c r="B33" s="4">
        <v>46178.0</v>
      </c>
      <c r="C33" s="3" t="s">
        <v>23</v>
      </c>
      <c r="D33" s="3" t="s">
        <v>15</v>
      </c>
      <c r="E33" s="3" t="s">
        <v>31</v>
      </c>
      <c r="F33" s="3">
        <v>6214000.0</v>
      </c>
      <c r="G33" s="3">
        <v>5903300.0</v>
      </c>
      <c r="H33" s="3" t="str">
        <f t="shared" si="1"/>
        <v>Fare Increase</v>
      </c>
      <c r="I33" s="3" t="str">
        <f t="shared" si="2"/>
        <v>Issued</v>
      </c>
    </row>
    <row r="34">
      <c r="A34" s="3" t="s">
        <v>60</v>
      </c>
      <c r="B34" s="4">
        <v>46129.0</v>
      </c>
      <c r="C34" s="3" t="s">
        <v>25</v>
      </c>
      <c r="D34" s="3" t="s">
        <v>15</v>
      </c>
      <c r="E34" s="3" t="s">
        <v>61</v>
      </c>
      <c r="F34" s="3">
        <v>9097000.0</v>
      </c>
      <c r="G34" s="3">
        <v>8642150.0</v>
      </c>
      <c r="H34" s="3" t="str">
        <f t="shared" si="1"/>
        <v>Fare Increase</v>
      </c>
      <c r="I34" s="3" t="str">
        <f t="shared" si="2"/>
        <v>Issued</v>
      </c>
    </row>
    <row r="35">
      <c r="A35" s="3" t="s">
        <v>62</v>
      </c>
      <c r="B35" s="4">
        <v>46280.0</v>
      </c>
      <c r="C35" s="3" t="s">
        <v>14</v>
      </c>
      <c r="D35" s="3" t="s">
        <v>15</v>
      </c>
      <c r="E35" s="3" t="s">
        <v>63</v>
      </c>
      <c r="F35" s="3">
        <v>1224000.0</v>
      </c>
      <c r="G35" s="3">
        <v>1162800.0</v>
      </c>
      <c r="H35" s="3" t="str">
        <f t="shared" si="1"/>
        <v>Normal</v>
      </c>
      <c r="I35" s="3" t="str">
        <f t="shared" si="2"/>
        <v>Issued</v>
      </c>
    </row>
    <row r="36">
      <c r="A36" s="3" t="s">
        <v>64</v>
      </c>
      <c r="B36" s="4">
        <v>46226.0</v>
      </c>
      <c r="C36" s="3" t="s">
        <v>23</v>
      </c>
      <c r="D36" s="3" t="s">
        <v>15</v>
      </c>
      <c r="E36" s="3" t="s">
        <v>33</v>
      </c>
      <c r="F36" s="3">
        <v>1952000.0</v>
      </c>
      <c r="G36" s="3">
        <v>4880000.0</v>
      </c>
      <c r="H36" s="3" t="str">
        <f t="shared" si="1"/>
        <v>Fare Increase</v>
      </c>
      <c r="I36" s="3" t="str">
        <f t="shared" si="2"/>
        <v>Issued</v>
      </c>
    </row>
    <row r="37">
      <c r="A37" s="3" t="s">
        <v>65</v>
      </c>
      <c r="B37" s="4">
        <v>46332.0</v>
      </c>
      <c r="C37" s="3" t="s">
        <v>18</v>
      </c>
      <c r="D37" s="3" t="s">
        <v>11</v>
      </c>
      <c r="E37" s="3" t="s">
        <v>12</v>
      </c>
      <c r="F37" s="3">
        <v>1757000.0</v>
      </c>
      <c r="G37" s="3">
        <v>4392500.0</v>
      </c>
      <c r="H37" s="3" t="str">
        <f t="shared" si="1"/>
        <v>Fare Increase</v>
      </c>
      <c r="I37" s="3" t="str">
        <f t="shared" si="2"/>
        <v>Issued</v>
      </c>
    </row>
    <row r="38">
      <c r="A38" s="3" t="s">
        <v>66</v>
      </c>
      <c r="B38" s="4">
        <v>46346.0</v>
      </c>
      <c r="C38" s="3" t="s">
        <v>10</v>
      </c>
      <c r="D38" s="3" t="s">
        <v>11</v>
      </c>
      <c r="E38" s="3" t="s">
        <v>63</v>
      </c>
      <c r="F38" s="3">
        <v>5314000.0</v>
      </c>
      <c r="G38" s="3">
        <v>1.3285E7</v>
      </c>
      <c r="H38" s="3" t="str">
        <f t="shared" si="1"/>
        <v>Fare Increase</v>
      </c>
      <c r="I38" s="3" t="str">
        <f t="shared" si="2"/>
        <v>Issued</v>
      </c>
    </row>
    <row r="39">
      <c r="A39" s="3" t="s">
        <v>67</v>
      </c>
      <c r="B39" s="4">
        <v>46367.0</v>
      </c>
      <c r="C39" s="3" t="s">
        <v>18</v>
      </c>
      <c r="D39" s="3" t="s">
        <v>11</v>
      </c>
      <c r="E39" s="3" t="s">
        <v>19</v>
      </c>
      <c r="F39" s="3">
        <v>7835000.0</v>
      </c>
      <c r="G39" s="3">
        <v>7443250.0</v>
      </c>
      <c r="H39" s="3" t="str">
        <f t="shared" si="1"/>
        <v>Over Buffer</v>
      </c>
      <c r="I39" s="3" t="str">
        <f t="shared" si="2"/>
        <v>Refund</v>
      </c>
    </row>
    <row r="40">
      <c r="A40" s="3" t="s">
        <v>68</v>
      </c>
      <c r="B40" s="4">
        <v>46240.0</v>
      </c>
      <c r="C40" s="3" t="s">
        <v>23</v>
      </c>
      <c r="D40" s="3" t="s">
        <v>15</v>
      </c>
      <c r="E40" s="3" t="s">
        <v>31</v>
      </c>
      <c r="F40" s="3">
        <v>1209000.0</v>
      </c>
      <c r="G40" s="3">
        <v>3022500.0</v>
      </c>
      <c r="H40" s="3" t="str">
        <f t="shared" si="1"/>
        <v>Normal</v>
      </c>
      <c r="I40" s="3" t="str">
        <f t="shared" si="2"/>
        <v>Issued</v>
      </c>
    </row>
    <row r="41">
      <c r="A41" s="3" t="s">
        <v>69</v>
      </c>
      <c r="B41" s="4">
        <v>46246.0</v>
      </c>
      <c r="C41" s="3" t="s">
        <v>30</v>
      </c>
      <c r="D41" s="3" t="s">
        <v>15</v>
      </c>
      <c r="E41" s="3" t="s">
        <v>19</v>
      </c>
      <c r="F41" s="3">
        <v>1003000.0</v>
      </c>
      <c r="G41" s="3">
        <v>952850.0</v>
      </c>
      <c r="H41" s="3" t="str">
        <f t="shared" si="1"/>
        <v>Over Buffer</v>
      </c>
      <c r="I41" s="3" t="str">
        <f t="shared" si="2"/>
        <v>Refund</v>
      </c>
    </row>
    <row r="42">
      <c r="A42" s="3" t="s">
        <v>70</v>
      </c>
      <c r="B42" s="4">
        <v>46191.0</v>
      </c>
      <c r="C42" s="3" t="s">
        <v>18</v>
      </c>
      <c r="D42" s="3" t="s">
        <v>11</v>
      </c>
      <c r="E42" s="3" t="s">
        <v>63</v>
      </c>
      <c r="F42" s="3">
        <v>598000.0</v>
      </c>
      <c r="G42" s="3">
        <v>568100.0</v>
      </c>
      <c r="H42" s="3" t="str">
        <f t="shared" si="1"/>
        <v>Fare Increase</v>
      </c>
      <c r="I42" s="3" t="str">
        <f t="shared" si="2"/>
        <v>Issued</v>
      </c>
    </row>
    <row r="43">
      <c r="A43" s="3" t="s">
        <v>71</v>
      </c>
      <c r="B43" s="4">
        <v>46113.0</v>
      </c>
      <c r="C43" s="3" t="s">
        <v>18</v>
      </c>
      <c r="D43" s="3" t="s">
        <v>11</v>
      </c>
      <c r="E43" s="3" t="s">
        <v>35</v>
      </c>
      <c r="F43" s="3">
        <v>814000.0</v>
      </c>
      <c r="G43" s="3">
        <v>773300.0</v>
      </c>
      <c r="H43" s="3" t="str">
        <f t="shared" si="1"/>
        <v>Fare Increase</v>
      </c>
      <c r="I43" s="3" t="str">
        <f t="shared" si="2"/>
        <v>Issued</v>
      </c>
    </row>
    <row r="44">
      <c r="A44" s="3" t="s">
        <v>72</v>
      </c>
      <c r="B44" s="4">
        <v>46318.0</v>
      </c>
      <c r="C44" s="3" t="s">
        <v>10</v>
      </c>
      <c r="D44" s="3" t="s">
        <v>11</v>
      </c>
      <c r="E44" s="3" t="s">
        <v>35</v>
      </c>
      <c r="F44" s="3">
        <v>974000.0</v>
      </c>
      <c r="G44" s="3">
        <v>2435000.0</v>
      </c>
      <c r="H44" s="3" t="str">
        <f t="shared" si="1"/>
        <v>Over Buffer</v>
      </c>
      <c r="I44" s="3" t="str">
        <f t="shared" si="2"/>
        <v>Refund</v>
      </c>
    </row>
    <row r="45">
      <c r="A45" s="3" t="s">
        <v>73</v>
      </c>
      <c r="B45" s="4">
        <v>46282.0</v>
      </c>
      <c r="C45" s="3" t="s">
        <v>14</v>
      </c>
      <c r="D45" s="3" t="s">
        <v>15</v>
      </c>
      <c r="E45" s="3" t="s">
        <v>63</v>
      </c>
      <c r="F45" s="3">
        <v>1705000.0</v>
      </c>
      <c r="G45" s="3">
        <v>2387000.0</v>
      </c>
      <c r="H45" s="3" t="str">
        <f t="shared" si="1"/>
        <v>Over Buffer</v>
      </c>
      <c r="I45" s="3" t="str">
        <f t="shared" si="2"/>
        <v>Refund</v>
      </c>
    </row>
    <row r="46">
      <c r="A46" s="3" t="s">
        <v>74</v>
      </c>
      <c r="B46" s="4">
        <v>46061.0</v>
      </c>
      <c r="C46" s="3" t="s">
        <v>30</v>
      </c>
      <c r="D46" s="3" t="s">
        <v>15</v>
      </c>
      <c r="E46" s="3" t="s">
        <v>49</v>
      </c>
      <c r="F46" s="3">
        <v>1434000.0</v>
      </c>
      <c r="G46" s="3">
        <v>2007599.9999999998</v>
      </c>
      <c r="H46" s="3" t="str">
        <f t="shared" si="1"/>
        <v>Fare Increase</v>
      </c>
      <c r="I46" s="3" t="str">
        <f t="shared" si="2"/>
        <v>Issued</v>
      </c>
    </row>
    <row r="47">
      <c r="A47" s="3" t="s">
        <v>75</v>
      </c>
      <c r="B47" s="4">
        <v>46209.0</v>
      </c>
      <c r="C47" s="3" t="s">
        <v>14</v>
      </c>
      <c r="D47" s="3" t="s">
        <v>15</v>
      </c>
      <c r="E47" s="3" t="s">
        <v>63</v>
      </c>
      <c r="F47" s="3">
        <v>763000.0</v>
      </c>
      <c r="G47" s="3">
        <v>1068200.0</v>
      </c>
      <c r="H47" s="3" t="str">
        <f t="shared" si="1"/>
        <v>Normal</v>
      </c>
      <c r="I47" s="3" t="str">
        <f t="shared" si="2"/>
        <v>Issued</v>
      </c>
    </row>
    <row r="48">
      <c r="A48" s="3" t="s">
        <v>76</v>
      </c>
      <c r="B48" s="4">
        <v>46166.0</v>
      </c>
      <c r="C48" s="3" t="s">
        <v>14</v>
      </c>
      <c r="D48" s="3" t="s">
        <v>15</v>
      </c>
      <c r="E48" s="3" t="s">
        <v>37</v>
      </c>
      <c r="F48" s="3">
        <v>469000.0</v>
      </c>
      <c r="G48" s="3">
        <v>445550.0</v>
      </c>
      <c r="H48" s="3" t="str">
        <f t="shared" si="1"/>
        <v>Fare Increase</v>
      </c>
      <c r="I48" s="3" t="str">
        <f t="shared" si="2"/>
        <v>Issued</v>
      </c>
    </row>
    <row r="49">
      <c r="A49" s="3" t="s">
        <v>77</v>
      </c>
      <c r="B49" s="4">
        <v>46229.0</v>
      </c>
      <c r="C49" s="3" t="s">
        <v>30</v>
      </c>
      <c r="D49" s="3" t="s">
        <v>15</v>
      </c>
      <c r="E49" s="3" t="s">
        <v>78</v>
      </c>
      <c r="F49" s="3">
        <v>7450000.0</v>
      </c>
      <c r="G49" s="3">
        <v>1.043E7</v>
      </c>
      <c r="H49" s="3" t="str">
        <f t="shared" si="1"/>
        <v>Over Buffer</v>
      </c>
      <c r="I49" s="3" t="str">
        <f t="shared" si="2"/>
        <v>Refund</v>
      </c>
    </row>
    <row r="50">
      <c r="A50" s="3" t="s">
        <v>79</v>
      </c>
      <c r="B50" s="4">
        <v>46315.0</v>
      </c>
      <c r="C50" s="3" t="s">
        <v>25</v>
      </c>
      <c r="D50" s="3" t="s">
        <v>15</v>
      </c>
      <c r="E50" s="3" t="s">
        <v>42</v>
      </c>
      <c r="F50" s="3">
        <v>7482000.0</v>
      </c>
      <c r="G50" s="3">
        <v>8604300.0</v>
      </c>
      <c r="H50" s="3" t="str">
        <f t="shared" si="1"/>
        <v>Normal</v>
      </c>
      <c r="I50" s="3" t="str">
        <f t="shared" si="2"/>
        <v>Issued</v>
      </c>
    </row>
    <row r="51">
      <c r="A51" s="3" t="s">
        <v>80</v>
      </c>
      <c r="B51" s="4">
        <v>46236.0</v>
      </c>
      <c r="C51" s="3" t="s">
        <v>18</v>
      </c>
      <c r="D51" s="3" t="s">
        <v>11</v>
      </c>
      <c r="E51" s="3" t="s">
        <v>19</v>
      </c>
      <c r="F51" s="3">
        <v>1.0708E7</v>
      </c>
      <c r="G51" s="3">
        <v>1.2314199999999998E7</v>
      </c>
      <c r="H51" s="3" t="str">
        <f t="shared" si="1"/>
        <v>Over Buffer</v>
      </c>
      <c r="I51" s="3" t="str">
        <f t="shared" si="2"/>
        <v>Refund</v>
      </c>
    </row>
    <row r="52">
      <c r="A52" s="3" t="s">
        <v>81</v>
      </c>
      <c r="B52" s="4">
        <v>46168.0</v>
      </c>
      <c r="C52" s="3" t="s">
        <v>14</v>
      </c>
      <c r="D52" s="3" t="s">
        <v>15</v>
      </c>
      <c r="E52" s="3" t="s">
        <v>37</v>
      </c>
      <c r="F52" s="3">
        <v>466000.0</v>
      </c>
      <c r="G52" s="3">
        <v>1165000.0</v>
      </c>
      <c r="H52" s="3" t="str">
        <f t="shared" si="1"/>
        <v>Normal</v>
      </c>
      <c r="I52" s="3" t="str">
        <f t="shared" si="2"/>
        <v>Issued</v>
      </c>
    </row>
    <row r="53">
      <c r="A53" s="3" t="s">
        <v>82</v>
      </c>
      <c r="B53" s="4">
        <v>46169.0</v>
      </c>
      <c r="C53" s="3" t="s">
        <v>23</v>
      </c>
      <c r="D53" s="3" t="s">
        <v>15</v>
      </c>
      <c r="E53" s="3" t="s">
        <v>19</v>
      </c>
      <c r="F53" s="3">
        <v>1496000.0</v>
      </c>
      <c r="G53" s="3">
        <v>1421200.0</v>
      </c>
      <c r="H53" s="3" t="str">
        <f t="shared" si="1"/>
        <v>Normal</v>
      </c>
      <c r="I53" s="3" t="str">
        <f t="shared" si="2"/>
        <v>Issued</v>
      </c>
    </row>
    <row r="54">
      <c r="A54" s="3" t="s">
        <v>83</v>
      </c>
      <c r="B54" s="4">
        <v>46260.0</v>
      </c>
      <c r="C54" s="3" t="s">
        <v>25</v>
      </c>
      <c r="D54" s="3" t="s">
        <v>15</v>
      </c>
      <c r="E54" s="3" t="s">
        <v>42</v>
      </c>
      <c r="F54" s="3">
        <v>1557000.0</v>
      </c>
      <c r="G54" s="3">
        <v>3892500.0</v>
      </c>
      <c r="H54" s="3" t="str">
        <f t="shared" si="1"/>
        <v>Over Buffer</v>
      </c>
      <c r="I54" s="3" t="str">
        <f t="shared" si="2"/>
        <v>Refund</v>
      </c>
    </row>
    <row r="55">
      <c r="A55" s="3" t="s">
        <v>84</v>
      </c>
      <c r="B55" s="4">
        <v>46384.0</v>
      </c>
      <c r="C55" s="3" t="s">
        <v>18</v>
      </c>
      <c r="D55" s="3" t="s">
        <v>11</v>
      </c>
      <c r="E55" s="3" t="s">
        <v>19</v>
      </c>
      <c r="F55" s="3">
        <v>462000.0</v>
      </c>
      <c r="G55" s="3">
        <v>531300.0</v>
      </c>
      <c r="H55" s="3" t="str">
        <f t="shared" si="1"/>
        <v>Fare Increase</v>
      </c>
      <c r="I55" s="3" t="str">
        <f t="shared" si="2"/>
        <v>Issued</v>
      </c>
    </row>
    <row r="56">
      <c r="A56" s="3" t="s">
        <v>85</v>
      </c>
      <c r="B56" s="4">
        <v>46045.0</v>
      </c>
      <c r="C56" s="3" t="s">
        <v>14</v>
      </c>
      <c r="D56" s="3" t="s">
        <v>15</v>
      </c>
      <c r="E56" s="3" t="s">
        <v>37</v>
      </c>
      <c r="F56" s="3">
        <v>957000.0</v>
      </c>
      <c r="G56" s="3">
        <v>909150.0</v>
      </c>
      <c r="H56" s="3" t="str">
        <f t="shared" si="1"/>
        <v>Fare Increase</v>
      </c>
      <c r="I56" s="3" t="str">
        <f t="shared" si="2"/>
        <v>Issued</v>
      </c>
    </row>
    <row r="57">
      <c r="A57" s="3" t="s">
        <v>86</v>
      </c>
      <c r="B57" s="4">
        <v>46044.0</v>
      </c>
      <c r="C57" s="3" t="s">
        <v>30</v>
      </c>
      <c r="D57" s="3" t="s">
        <v>15</v>
      </c>
      <c r="E57" s="3" t="s">
        <v>33</v>
      </c>
      <c r="F57" s="3">
        <v>1.3869E7</v>
      </c>
      <c r="G57" s="3">
        <v>1.5949349999999998E7</v>
      </c>
      <c r="H57" s="3" t="str">
        <f t="shared" si="1"/>
        <v>Normal</v>
      </c>
      <c r="I57" s="3" t="str">
        <f t="shared" si="2"/>
        <v>Issued</v>
      </c>
    </row>
    <row r="58">
      <c r="A58" s="3" t="s">
        <v>87</v>
      </c>
      <c r="B58" s="4">
        <v>46170.0</v>
      </c>
      <c r="C58" s="3" t="s">
        <v>23</v>
      </c>
      <c r="D58" s="3" t="s">
        <v>15</v>
      </c>
      <c r="E58" s="3" t="s">
        <v>33</v>
      </c>
      <c r="F58" s="3">
        <v>785000.0</v>
      </c>
      <c r="G58" s="3">
        <v>1099000.0</v>
      </c>
      <c r="H58" s="3" t="str">
        <f t="shared" si="1"/>
        <v>Fare Increase</v>
      </c>
      <c r="I58" s="3" t="str">
        <f t="shared" si="2"/>
        <v>Issued</v>
      </c>
    </row>
    <row r="59">
      <c r="A59" s="3" t="s">
        <v>88</v>
      </c>
      <c r="B59" s="4">
        <v>46183.0</v>
      </c>
      <c r="C59" s="3" t="s">
        <v>18</v>
      </c>
      <c r="D59" s="3" t="s">
        <v>11</v>
      </c>
      <c r="E59" s="3" t="s">
        <v>63</v>
      </c>
      <c r="F59" s="3">
        <v>1595000.0</v>
      </c>
      <c r="G59" s="3">
        <v>2233000.0</v>
      </c>
      <c r="H59" s="3" t="str">
        <f t="shared" si="1"/>
        <v>Over Buffer</v>
      </c>
      <c r="I59" s="3" t="str">
        <f t="shared" si="2"/>
        <v>Refund</v>
      </c>
    </row>
    <row r="60">
      <c r="A60" s="3" t="s">
        <v>89</v>
      </c>
      <c r="B60" s="4">
        <v>46184.0</v>
      </c>
      <c r="C60" s="3" t="s">
        <v>18</v>
      </c>
      <c r="D60" s="3" t="s">
        <v>11</v>
      </c>
      <c r="E60" s="3" t="s">
        <v>12</v>
      </c>
      <c r="F60" s="3">
        <v>1125000.0</v>
      </c>
      <c r="G60" s="3">
        <v>1293750.0</v>
      </c>
      <c r="H60" s="3" t="str">
        <f t="shared" si="1"/>
        <v>Fare Increase</v>
      </c>
      <c r="I60" s="3" t="str">
        <f t="shared" si="2"/>
        <v>Issued</v>
      </c>
    </row>
    <row r="61">
      <c r="A61" s="3" t="s">
        <v>90</v>
      </c>
      <c r="B61" s="4">
        <v>46187.0</v>
      </c>
      <c r="C61" s="3" t="s">
        <v>30</v>
      </c>
      <c r="D61" s="3" t="s">
        <v>15</v>
      </c>
      <c r="E61" s="3" t="s">
        <v>78</v>
      </c>
      <c r="F61" s="3">
        <v>2928000.0</v>
      </c>
      <c r="G61" s="3">
        <v>2781600.0</v>
      </c>
      <c r="H61" s="3" t="str">
        <f t="shared" si="1"/>
        <v>Fare Increase</v>
      </c>
      <c r="I61" s="3" t="str">
        <f t="shared" si="2"/>
        <v>Issued</v>
      </c>
    </row>
    <row r="62">
      <c r="A62" s="3" t="s">
        <v>91</v>
      </c>
      <c r="B62" s="4">
        <v>46381.0</v>
      </c>
      <c r="C62" s="3" t="s">
        <v>18</v>
      </c>
      <c r="D62" s="3" t="s">
        <v>11</v>
      </c>
      <c r="E62" s="3" t="s">
        <v>63</v>
      </c>
      <c r="F62" s="3">
        <v>7817000.0</v>
      </c>
      <c r="G62" s="3">
        <v>8989550.0</v>
      </c>
      <c r="H62" s="3" t="str">
        <f t="shared" si="1"/>
        <v>Normal</v>
      </c>
      <c r="I62" s="3" t="str">
        <f t="shared" si="2"/>
        <v>Issued</v>
      </c>
    </row>
    <row r="63">
      <c r="A63" s="3" t="s">
        <v>92</v>
      </c>
      <c r="B63" s="4">
        <v>46050.0</v>
      </c>
      <c r="C63" s="3" t="s">
        <v>23</v>
      </c>
      <c r="D63" s="3" t="s">
        <v>15</v>
      </c>
      <c r="E63" s="3" t="s">
        <v>33</v>
      </c>
      <c r="F63" s="3">
        <v>6041000.0</v>
      </c>
      <c r="G63" s="3">
        <v>8457400.0</v>
      </c>
      <c r="H63" s="3" t="str">
        <f t="shared" si="1"/>
        <v>Over Buffer</v>
      </c>
      <c r="I63" s="3" t="str">
        <f t="shared" si="2"/>
        <v>Refund</v>
      </c>
    </row>
    <row r="64">
      <c r="A64" s="3" t="s">
        <v>93</v>
      </c>
      <c r="B64" s="4">
        <v>46301.0</v>
      </c>
      <c r="C64" s="3" t="s">
        <v>18</v>
      </c>
      <c r="D64" s="3" t="s">
        <v>11</v>
      </c>
      <c r="E64" s="3" t="s">
        <v>63</v>
      </c>
      <c r="F64" s="3">
        <v>1409000.0</v>
      </c>
      <c r="G64" s="3">
        <v>1620349.9999999998</v>
      </c>
      <c r="H64" s="3" t="str">
        <f t="shared" si="1"/>
        <v>Over Buffer</v>
      </c>
      <c r="I64" s="3" t="str">
        <f t="shared" si="2"/>
        <v>Refund</v>
      </c>
    </row>
    <row r="65">
      <c r="A65" s="3" t="s">
        <v>94</v>
      </c>
      <c r="B65" s="4">
        <v>46360.0</v>
      </c>
      <c r="C65" s="3" t="s">
        <v>18</v>
      </c>
      <c r="D65" s="3" t="s">
        <v>11</v>
      </c>
      <c r="E65" s="3" t="s">
        <v>63</v>
      </c>
      <c r="F65" s="3">
        <v>3681000.0</v>
      </c>
      <c r="G65" s="3">
        <v>9202500.0</v>
      </c>
      <c r="H65" s="3" t="str">
        <f t="shared" si="1"/>
        <v>Normal</v>
      </c>
      <c r="I65" s="3" t="str">
        <f t="shared" si="2"/>
        <v>Issued</v>
      </c>
    </row>
    <row r="66">
      <c r="A66" s="3" t="s">
        <v>95</v>
      </c>
      <c r="B66" s="4">
        <v>46290.0</v>
      </c>
      <c r="C66" s="3" t="s">
        <v>23</v>
      </c>
      <c r="D66" s="3" t="s">
        <v>15</v>
      </c>
      <c r="E66" s="3" t="s">
        <v>31</v>
      </c>
      <c r="F66" s="3">
        <v>1714000.0</v>
      </c>
      <c r="G66" s="3">
        <v>1628300.0</v>
      </c>
      <c r="H66" s="3" t="str">
        <f t="shared" si="1"/>
        <v>Over Buffer</v>
      </c>
      <c r="I66" s="3" t="str">
        <f t="shared" si="2"/>
        <v>Refund</v>
      </c>
    </row>
    <row r="67">
      <c r="A67" s="3" t="s">
        <v>96</v>
      </c>
      <c r="B67" s="4">
        <v>46284.0</v>
      </c>
      <c r="C67" s="3" t="s">
        <v>30</v>
      </c>
      <c r="D67" s="3" t="s">
        <v>15</v>
      </c>
      <c r="E67" s="3" t="s">
        <v>35</v>
      </c>
      <c r="F67" s="3">
        <v>978000.0</v>
      </c>
      <c r="G67" s="3">
        <v>2445000.0</v>
      </c>
      <c r="H67" s="3" t="str">
        <f t="shared" si="1"/>
        <v>Normal</v>
      </c>
      <c r="I67" s="3" t="str">
        <f t="shared" si="2"/>
        <v>Issued</v>
      </c>
    </row>
    <row r="68">
      <c r="A68" s="3" t="s">
        <v>97</v>
      </c>
      <c r="B68" s="4">
        <v>46074.0</v>
      </c>
      <c r="C68" s="3" t="s">
        <v>14</v>
      </c>
      <c r="D68" s="3" t="s">
        <v>15</v>
      </c>
      <c r="E68" s="3" t="s">
        <v>63</v>
      </c>
      <c r="F68" s="3">
        <v>1.3296E7</v>
      </c>
      <c r="G68" s="3">
        <v>1.86144E7</v>
      </c>
      <c r="H68" s="3" t="str">
        <f t="shared" si="1"/>
        <v>Fare Increase</v>
      </c>
      <c r="I68" s="3" t="str">
        <f t="shared" si="2"/>
        <v>Issued</v>
      </c>
    </row>
    <row r="69">
      <c r="A69" s="3" t="s">
        <v>98</v>
      </c>
      <c r="B69" s="4">
        <v>46116.0</v>
      </c>
      <c r="C69" s="3" t="s">
        <v>14</v>
      </c>
      <c r="D69" s="3" t="s">
        <v>15</v>
      </c>
      <c r="E69" s="3" t="s">
        <v>37</v>
      </c>
      <c r="F69" s="3">
        <v>5343000.0</v>
      </c>
      <c r="G69" s="3">
        <v>7480199.999999999</v>
      </c>
      <c r="H69" s="3" t="str">
        <f t="shared" si="1"/>
        <v>Over Buffer</v>
      </c>
      <c r="I69" s="3" t="str">
        <f t="shared" si="2"/>
        <v>Refund</v>
      </c>
    </row>
    <row r="70">
      <c r="A70" s="3" t="s">
        <v>99</v>
      </c>
      <c r="B70" s="4">
        <v>46123.0</v>
      </c>
      <c r="C70" s="3" t="s">
        <v>30</v>
      </c>
      <c r="D70" s="3" t="s">
        <v>15</v>
      </c>
      <c r="E70" s="3" t="s">
        <v>100</v>
      </c>
      <c r="F70" s="3">
        <v>1116000.0</v>
      </c>
      <c r="G70" s="3">
        <v>2790000.0</v>
      </c>
      <c r="H70" s="3" t="str">
        <f t="shared" si="1"/>
        <v>Normal</v>
      </c>
      <c r="I70" s="3" t="str">
        <f t="shared" si="2"/>
        <v>Issued</v>
      </c>
    </row>
    <row r="71">
      <c r="A71" s="3" t="s">
        <v>101</v>
      </c>
      <c r="B71" s="4">
        <v>46242.0</v>
      </c>
      <c r="C71" s="3" t="s">
        <v>14</v>
      </c>
      <c r="D71" s="3" t="s">
        <v>15</v>
      </c>
      <c r="E71" s="3" t="s">
        <v>63</v>
      </c>
      <c r="F71" s="3">
        <v>1700000.0</v>
      </c>
      <c r="G71" s="3">
        <v>4250000.0</v>
      </c>
      <c r="H71" s="3" t="str">
        <f t="shared" si="1"/>
        <v>Over Buffer</v>
      </c>
      <c r="I71" s="3" t="str">
        <f t="shared" si="2"/>
        <v>Refund</v>
      </c>
    </row>
    <row r="72">
      <c r="A72" s="3" t="s">
        <v>102</v>
      </c>
      <c r="B72" s="4">
        <v>46123.0</v>
      </c>
      <c r="C72" s="3" t="s">
        <v>25</v>
      </c>
      <c r="D72" s="3" t="s">
        <v>15</v>
      </c>
      <c r="E72" s="3" t="s">
        <v>42</v>
      </c>
      <c r="F72" s="3">
        <v>919000.0</v>
      </c>
      <c r="G72" s="3">
        <v>1286600.0</v>
      </c>
      <c r="H72" s="3" t="str">
        <f t="shared" si="1"/>
        <v>Fare Increase</v>
      </c>
      <c r="I72" s="3" t="str">
        <f t="shared" si="2"/>
        <v>Issued</v>
      </c>
    </row>
    <row r="73">
      <c r="A73" s="3" t="s">
        <v>103</v>
      </c>
      <c r="B73" s="4">
        <v>46316.0</v>
      </c>
      <c r="C73" s="3" t="s">
        <v>23</v>
      </c>
      <c r="D73" s="3" t="s">
        <v>15</v>
      </c>
      <c r="E73" s="3" t="s">
        <v>31</v>
      </c>
      <c r="F73" s="3">
        <v>1674000.0</v>
      </c>
      <c r="G73" s="3">
        <v>1590300.0</v>
      </c>
      <c r="H73" s="3" t="str">
        <f t="shared" si="1"/>
        <v>Normal</v>
      </c>
      <c r="I73" s="3" t="str">
        <f t="shared" si="2"/>
        <v>Issued</v>
      </c>
    </row>
    <row r="74">
      <c r="A74" s="3" t="s">
        <v>104</v>
      </c>
      <c r="B74" s="4">
        <v>46247.0</v>
      </c>
      <c r="C74" s="3" t="s">
        <v>30</v>
      </c>
      <c r="D74" s="3" t="s">
        <v>15</v>
      </c>
      <c r="E74" s="3" t="s">
        <v>26</v>
      </c>
      <c r="F74" s="3">
        <v>1692000.0</v>
      </c>
      <c r="G74" s="3">
        <v>1945799.9999999998</v>
      </c>
      <c r="H74" s="3" t="str">
        <f t="shared" si="1"/>
        <v>Over Buffer</v>
      </c>
      <c r="I74" s="3" t="str">
        <f t="shared" si="2"/>
        <v>Refund</v>
      </c>
    </row>
    <row r="75">
      <c r="A75" s="3" t="s">
        <v>105</v>
      </c>
      <c r="B75" s="4">
        <v>46332.0</v>
      </c>
      <c r="C75" s="3" t="s">
        <v>18</v>
      </c>
      <c r="D75" s="3" t="s">
        <v>11</v>
      </c>
      <c r="E75" s="3" t="s">
        <v>19</v>
      </c>
      <c r="F75" s="3">
        <v>1541000.0</v>
      </c>
      <c r="G75" s="3">
        <v>3852500.0</v>
      </c>
      <c r="H75" s="3" t="str">
        <f t="shared" si="1"/>
        <v>Normal</v>
      </c>
      <c r="I75" s="3" t="str">
        <f t="shared" si="2"/>
        <v>Issued</v>
      </c>
    </row>
    <row r="76">
      <c r="A76" s="3" t="s">
        <v>106</v>
      </c>
      <c r="B76" s="4">
        <v>46206.0</v>
      </c>
      <c r="C76" s="3" t="s">
        <v>10</v>
      </c>
      <c r="D76" s="3" t="s">
        <v>11</v>
      </c>
      <c r="E76" s="3" t="s">
        <v>35</v>
      </c>
      <c r="F76" s="3">
        <v>979000.0</v>
      </c>
      <c r="G76" s="3">
        <v>930050.0</v>
      </c>
      <c r="H76" s="3" t="str">
        <f t="shared" si="1"/>
        <v>Normal</v>
      </c>
      <c r="I76" s="3" t="str">
        <f t="shared" si="2"/>
        <v>Issued</v>
      </c>
    </row>
    <row r="77">
      <c r="A77" s="3" t="s">
        <v>107</v>
      </c>
      <c r="B77" s="4">
        <v>46082.0</v>
      </c>
      <c r="C77" s="3" t="s">
        <v>18</v>
      </c>
      <c r="D77" s="3" t="s">
        <v>11</v>
      </c>
      <c r="E77" s="3" t="s">
        <v>19</v>
      </c>
      <c r="F77" s="3">
        <v>1594000.0</v>
      </c>
      <c r="G77" s="3">
        <v>3985000.0</v>
      </c>
      <c r="H77" s="3" t="str">
        <f t="shared" si="1"/>
        <v>Normal</v>
      </c>
      <c r="I77" s="3" t="str">
        <f t="shared" si="2"/>
        <v>Issued</v>
      </c>
    </row>
    <row r="78">
      <c r="A78" s="3" t="s">
        <v>108</v>
      </c>
      <c r="B78" s="4">
        <v>46276.0</v>
      </c>
      <c r="C78" s="3" t="s">
        <v>23</v>
      </c>
      <c r="D78" s="3" t="s">
        <v>15</v>
      </c>
      <c r="E78" s="3" t="s">
        <v>19</v>
      </c>
      <c r="F78" s="3">
        <v>1.2909E7</v>
      </c>
      <c r="G78" s="3">
        <v>1.226355E7</v>
      </c>
      <c r="H78" s="3" t="str">
        <f t="shared" si="1"/>
        <v>Fare Increase</v>
      </c>
      <c r="I78" s="3" t="str">
        <f t="shared" si="2"/>
        <v>Issued</v>
      </c>
    </row>
    <row r="79">
      <c r="A79" s="3" t="s">
        <v>109</v>
      </c>
      <c r="B79" s="4">
        <v>46033.0</v>
      </c>
      <c r="C79" s="3" t="s">
        <v>23</v>
      </c>
      <c r="D79" s="3" t="s">
        <v>15</v>
      </c>
      <c r="E79" s="3" t="s">
        <v>33</v>
      </c>
      <c r="F79" s="3">
        <v>656000.0</v>
      </c>
      <c r="G79" s="3">
        <v>623200.0</v>
      </c>
      <c r="H79" s="3" t="str">
        <f t="shared" si="1"/>
        <v>Over Buffer</v>
      </c>
      <c r="I79" s="3" t="str">
        <f t="shared" si="2"/>
        <v>Refund</v>
      </c>
    </row>
    <row r="80">
      <c r="A80" s="3" t="s">
        <v>110</v>
      </c>
      <c r="B80" s="4">
        <v>46267.0</v>
      </c>
      <c r="C80" s="3" t="s">
        <v>23</v>
      </c>
      <c r="D80" s="3" t="s">
        <v>15</v>
      </c>
      <c r="E80" s="3" t="s">
        <v>31</v>
      </c>
      <c r="F80" s="3">
        <v>771000.0</v>
      </c>
      <c r="G80" s="3">
        <v>1927500.0</v>
      </c>
      <c r="H80" s="3" t="str">
        <f t="shared" si="1"/>
        <v>Fare Increase</v>
      </c>
      <c r="I80" s="3" t="str">
        <f t="shared" si="2"/>
        <v>Issued</v>
      </c>
    </row>
    <row r="81">
      <c r="A81" s="3" t="s">
        <v>111</v>
      </c>
      <c r="B81" s="4">
        <v>46061.0</v>
      </c>
      <c r="C81" s="3" t="s">
        <v>30</v>
      </c>
      <c r="D81" s="3" t="s">
        <v>15</v>
      </c>
      <c r="E81" s="3" t="s">
        <v>112</v>
      </c>
      <c r="F81" s="3">
        <v>673000.0</v>
      </c>
      <c r="G81" s="3">
        <v>773949.9999999999</v>
      </c>
      <c r="H81" s="3" t="str">
        <f t="shared" si="1"/>
        <v>Normal</v>
      </c>
      <c r="I81" s="3" t="str">
        <f t="shared" si="2"/>
        <v>Issued</v>
      </c>
    </row>
    <row r="82">
      <c r="A82" s="3" t="s">
        <v>113</v>
      </c>
      <c r="B82" s="4">
        <v>46303.0</v>
      </c>
      <c r="C82" s="3" t="s">
        <v>23</v>
      </c>
      <c r="D82" s="3" t="s">
        <v>15</v>
      </c>
      <c r="E82" s="3" t="s">
        <v>19</v>
      </c>
      <c r="F82" s="3">
        <v>1751000.0</v>
      </c>
      <c r="G82" s="3">
        <v>2451400.0</v>
      </c>
      <c r="H82" s="3" t="str">
        <f t="shared" si="1"/>
        <v>Over Buffer</v>
      </c>
      <c r="I82" s="3" t="str">
        <f t="shared" si="2"/>
        <v>Refund</v>
      </c>
    </row>
    <row r="83">
      <c r="A83" s="3" t="s">
        <v>114</v>
      </c>
      <c r="B83" s="4">
        <v>46121.0</v>
      </c>
      <c r="C83" s="3" t="s">
        <v>10</v>
      </c>
      <c r="D83" s="3" t="s">
        <v>11</v>
      </c>
      <c r="E83" s="3" t="s">
        <v>63</v>
      </c>
      <c r="F83" s="3">
        <v>747000.0</v>
      </c>
      <c r="G83" s="3">
        <v>709650.0</v>
      </c>
      <c r="H83" s="3" t="str">
        <f t="shared" si="1"/>
        <v>Fare Increase</v>
      </c>
      <c r="I83" s="3" t="str">
        <f t="shared" si="2"/>
        <v>Issued</v>
      </c>
    </row>
    <row r="84">
      <c r="A84" s="3" t="s">
        <v>115</v>
      </c>
      <c r="B84" s="4">
        <v>46307.0</v>
      </c>
      <c r="C84" s="3" t="s">
        <v>25</v>
      </c>
      <c r="D84" s="3" t="s">
        <v>15</v>
      </c>
      <c r="E84" s="3" t="s">
        <v>116</v>
      </c>
      <c r="F84" s="3">
        <v>4217000.0</v>
      </c>
      <c r="G84" s="3">
        <v>4849550.0</v>
      </c>
      <c r="H84" s="3" t="str">
        <f t="shared" si="1"/>
        <v>Fare Increase</v>
      </c>
      <c r="I84" s="3" t="str">
        <f t="shared" si="2"/>
        <v>Issued</v>
      </c>
    </row>
    <row r="85">
      <c r="A85" s="3" t="s">
        <v>117</v>
      </c>
      <c r="B85" s="4">
        <v>46055.0</v>
      </c>
      <c r="C85" s="3" t="s">
        <v>14</v>
      </c>
      <c r="D85" s="3" t="s">
        <v>15</v>
      </c>
      <c r="E85" s="3" t="s">
        <v>16</v>
      </c>
      <c r="F85" s="3">
        <v>1276000.0</v>
      </c>
      <c r="G85" s="3">
        <v>3190000.0</v>
      </c>
      <c r="H85" s="3" t="str">
        <f t="shared" si="1"/>
        <v>Fare Increase</v>
      </c>
      <c r="I85" s="3" t="str">
        <f t="shared" si="2"/>
        <v>Issued</v>
      </c>
    </row>
    <row r="86">
      <c r="A86" s="3" t="s">
        <v>118</v>
      </c>
      <c r="B86" s="4">
        <v>46084.0</v>
      </c>
      <c r="C86" s="3" t="s">
        <v>30</v>
      </c>
      <c r="D86" s="3" t="s">
        <v>15</v>
      </c>
      <c r="E86" s="3" t="s">
        <v>63</v>
      </c>
      <c r="F86" s="3">
        <v>1330000.0</v>
      </c>
      <c r="G86" s="3">
        <v>1529499.9999999998</v>
      </c>
      <c r="H86" s="3" t="str">
        <f t="shared" si="1"/>
        <v>Over Buffer</v>
      </c>
      <c r="I86" s="3" t="str">
        <f t="shared" si="2"/>
        <v>Refund</v>
      </c>
    </row>
    <row r="87">
      <c r="A87" s="3" t="s">
        <v>119</v>
      </c>
      <c r="B87" s="4">
        <v>46216.0</v>
      </c>
      <c r="C87" s="3" t="s">
        <v>10</v>
      </c>
      <c r="D87" s="3" t="s">
        <v>11</v>
      </c>
      <c r="E87" s="3" t="s">
        <v>63</v>
      </c>
      <c r="F87" s="3">
        <v>1531000.0</v>
      </c>
      <c r="G87" s="3">
        <v>1760649.9999999998</v>
      </c>
      <c r="H87" s="3" t="str">
        <f t="shared" si="1"/>
        <v>Over Buffer</v>
      </c>
      <c r="I87" s="3" t="str">
        <f t="shared" si="2"/>
        <v>Refund</v>
      </c>
    </row>
    <row r="88">
      <c r="A88" s="3" t="s">
        <v>120</v>
      </c>
      <c r="B88" s="4">
        <v>46068.0</v>
      </c>
      <c r="C88" s="3" t="s">
        <v>10</v>
      </c>
      <c r="D88" s="3" t="s">
        <v>11</v>
      </c>
      <c r="E88" s="3" t="s">
        <v>21</v>
      </c>
      <c r="F88" s="3">
        <v>9059000.0</v>
      </c>
      <c r="G88" s="3">
        <v>8606050.0</v>
      </c>
      <c r="H88" s="3" t="str">
        <f t="shared" si="1"/>
        <v>Normal</v>
      </c>
      <c r="I88" s="3" t="str">
        <f t="shared" si="2"/>
        <v>Issued</v>
      </c>
    </row>
    <row r="89">
      <c r="A89" s="3" t="s">
        <v>121</v>
      </c>
      <c r="B89" s="4">
        <v>46244.0</v>
      </c>
      <c r="C89" s="3" t="s">
        <v>18</v>
      </c>
      <c r="D89" s="3" t="s">
        <v>11</v>
      </c>
      <c r="E89" s="3" t="s">
        <v>21</v>
      </c>
      <c r="F89" s="3">
        <v>1120000.0</v>
      </c>
      <c r="G89" s="3">
        <v>2800000.0</v>
      </c>
      <c r="H89" s="3" t="str">
        <f t="shared" si="1"/>
        <v>Over Buffer</v>
      </c>
      <c r="I89" s="3" t="str">
        <f t="shared" si="2"/>
        <v>Refund</v>
      </c>
    </row>
    <row r="90">
      <c r="A90" s="3" t="s">
        <v>122</v>
      </c>
      <c r="B90" s="4">
        <v>46269.0</v>
      </c>
      <c r="C90" s="3" t="s">
        <v>23</v>
      </c>
      <c r="D90" s="3" t="s">
        <v>15</v>
      </c>
      <c r="E90" s="3" t="s">
        <v>19</v>
      </c>
      <c r="F90" s="3">
        <v>1689000.0</v>
      </c>
      <c r="G90" s="3">
        <v>4222500.0</v>
      </c>
      <c r="H90" s="3" t="str">
        <f t="shared" si="1"/>
        <v>Normal</v>
      </c>
      <c r="I90" s="3" t="str">
        <f t="shared" si="2"/>
        <v>Issued</v>
      </c>
    </row>
    <row r="91">
      <c r="A91" s="3" t="s">
        <v>123</v>
      </c>
      <c r="B91" s="4">
        <v>46379.0</v>
      </c>
      <c r="C91" s="3" t="s">
        <v>18</v>
      </c>
      <c r="D91" s="3" t="s">
        <v>11</v>
      </c>
      <c r="E91" s="3" t="s">
        <v>35</v>
      </c>
      <c r="F91" s="3">
        <v>1089000.0</v>
      </c>
      <c r="G91" s="3">
        <v>1034550.0</v>
      </c>
      <c r="H91" s="3" t="str">
        <f t="shared" si="1"/>
        <v>Normal</v>
      </c>
      <c r="I91" s="3" t="str">
        <f t="shared" si="2"/>
        <v>Issued</v>
      </c>
    </row>
    <row r="92">
      <c r="A92" s="3" t="s">
        <v>124</v>
      </c>
      <c r="B92" s="4">
        <v>46181.0</v>
      </c>
      <c r="C92" s="3" t="s">
        <v>30</v>
      </c>
      <c r="D92" s="3" t="s">
        <v>15</v>
      </c>
      <c r="E92" s="3" t="s">
        <v>33</v>
      </c>
      <c r="F92" s="3">
        <v>1091000.0</v>
      </c>
      <c r="G92" s="3">
        <v>2727500.0</v>
      </c>
      <c r="H92" s="3" t="str">
        <f t="shared" si="1"/>
        <v>Fare Increase</v>
      </c>
      <c r="I92" s="3" t="str">
        <f t="shared" si="2"/>
        <v>Issued</v>
      </c>
    </row>
    <row r="93">
      <c r="A93" s="3" t="s">
        <v>125</v>
      </c>
      <c r="B93" s="4">
        <v>46362.0</v>
      </c>
      <c r="C93" s="3" t="s">
        <v>23</v>
      </c>
      <c r="D93" s="3" t="s">
        <v>15</v>
      </c>
      <c r="E93" s="3" t="s">
        <v>33</v>
      </c>
      <c r="F93" s="3">
        <v>668000.0</v>
      </c>
      <c r="G93" s="3">
        <v>634600.0</v>
      </c>
      <c r="H93" s="3" t="str">
        <f t="shared" si="1"/>
        <v>Normal</v>
      </c>
      <c r="I93" s="3" t="str">
        <f t="shared" si="2"/>
        <v>Issued</v>
      </c>
    </row>
    <row r="94">
      <c r="A94" s="3" t="s">
        <v>126</v>
      </c>
      <c r="B94" s="4">
        <v>46064.0</v>
      </c>
      <c r="C94" s="3" t="s">
        <v>10</v>
      </c>
      <c r="D94" s="3" t="s">
        <v>11</v>
      </c>
      <c r="E94" s="3" t="s">
        <v>21</v>
      </c>
      <c r="F94" s="3">
        <v>2069000.0</v>
      </c>
      <c r="G94" s="3">
        <v>2379350.0</v>
      </c>
      <c r="H94" s="3" t="str">
        <f t="shared" si="1"/>
        <v>Fare Increase</v>
      </c>
      <c r="I94" s="3" t="str">
        <f t="shared" si="2"/>
        <v>Issued</v>
      </c>
    </row>
    <row r="95">
      <c r="A95" s="3" t="s">
        <v>127</v>
      </c>
      <c r="B95" s="4">
        <v>46066.0</v>
      </c>
      <c r="C95" s="3" t="s">
        <v>10</v>
      </c>
      <c r="D95" s="3" t="s">
        <v>11</v>
      </c>
      <c r="E95" s="3" t="s">
        <v>19</v>
      </c>
      <c r="F95" s="3">
        <v>1165000.0</v>
      </c>
      <c r="G95" s="3">
        <v>2912500.0</v>
      </c>
      <c r="H95" s="3" t="str">
        <f t="shared" si="1"/>
        <v>Normal</v>
      </c>
      <c r="I95" s="3" t="str">
        <f t="shared" si="2"/>
        <v>Issued</v>
      </c>
    </row>
    <row r="96">
      <c r="A96" s="3" t="s">
        <v>128</v>
      </c>
      <c r="B96" s="4">
        <v>46124.0</v>
      </c>
      <c r="C96" s="3" t="s">
        <v>14</v>
      </c>
      <c r="D96" s="3" t="s">
        <v>15</v>
      </c>
      <c r="E96" s="3" t="s">
        <v>16</v>
      </c>
      <c r="F96" s="3">
        <v>1605000.0</v>
      </c>
      <c r="G96" s="3">
        <v>1524750.0</v>
      </c>
      <c r="H96" s="3" t="str">
        <f t="shared" si="1"/>
        <v>Fare Increase</v>
      </c>
      <c r="I96" s="3" t="str">
        <f t="shared" si="2"/>
        <v>Issued</v>
      </c>
    </row>
    <row r="97">
      <c r="A97" s="3" t="s">
        <v>129</v>
      </c>
      <c r="B97" s="4">
        <v>46299.0</v>
      </c>
      <c r="C97" s="3" t="s">
        <v>25</v>
      </c>
      <c r="D97" s="3" t="s">
        <v>15</v>
      </c>
      <c r="E97" s="3" t="s">
        <v>61</v>
      </c>
      <c r="F97" s="3">
        <v>1.4119E7</v>
      </c>
      <c r="G97" s="3">
        <v>3.52975E7</v>
      </c>
      <c r="H97" s="3" t="str">
        <f t="shared" si="1"/>
        <v>Fare Increase</v>
      </c>
      <c r="I97" s="3" t="str">
        <f t="shared" si="2"/>
        <v>Issued</v>
      </c>
    </row>
    <row r="98">
      <c r="A98" s="3" t="s">
        <v>130</v>
      </c>
      <c r="B98" s="4">
        <v>46225.0</v>
      </c>
      <c r="C98" s="3" t="s">
        <v>30</v>
      </c>
      <c r="D98" s="3" t="s">
        <v>15</v>
      </c>
      <c r="E98" s="3" t="s">
        <v>19</v>
      </c>
      <c r="F98" s="3">
        <v>1034000.0</v>
      </c>
      <c r="G98" s="3">
        <v>1189100.0</v>
      </c>
      <c r="H98" s="3" t="str">
        <f t="shared" si="1"/>
        <v>Fare Increase</v>
      </c>
      <c r="I98" s="3" t="str">
        <f t="shared" si="2"/>
        <v>Issued</v>
      </c>
    </row>
    <row r="99">
      <c r="A99" s="3" t="s">
        <v>131</v>
      </c>
      <c r="B99" s="4">
        <v>46333.0</v>
      </c>
      <c r="C99" s="3" t="s">
        <v>14</v>
      </c>
      <c r="D99" s="3" t="s">
        <v>15</v>
      </c>
      <c r="E99" s="3" t="s">
        <v>16</v>
      </c>
      <c r="F99" s="3">
        <v>1358000.0</v>
      </c>
      <c r="G99" s="3">
        <v>1290100.0</v>
      </c>
      <c r="H99" s="3" t="str">
        <f t="shared" si="1"/>
        <v>Fare Increase</v>
      </c>
      <c r="I99" s="3" t="str">
        <f t="shared" si="2"/>
        <v>Issued</v>
      </c>
    </row>
    <row r="100">
      <c r="A100" s="3" t="s">
        <v>132</v>
      </c>
      <c r="B100" s="4">
        <v>46248.0</v>
      </c>
      <c r="C100" s="3" t="s">
        <v>14</v>
      </c>
      <c r="D100" s="3" t="s">
        <v>15</v>
      </c>
      <c r="E100" s="3" t="s">
        <v>63</v>
      </c>
      <c r="F100" s="3">
        <v>1697000.0</v>
      </c>
      <c r="G100" s="3">
        <v>4242500.0</v>
      </c>
      <c r="H100" s="3" t="str">
        <f t="shared" si="1"/>
        <v>Over Buffer</v>
      </c>
      <c r="I100" s="3" t="str">
        <f t="shared" si="2"/>
        <v>Refund</v>
      </c>
    </row>
    <row r="101">
      <c r="A101" s="3" t="s">
        <v>133</v>
      </c>
      <c r="B101" s="4">
        <v>46293.0</v>
      </c>
      <c r="C101" s="3" t="s">
        <v>23</v>
      </c>
      <c r="D101" s="3" t="s">
        <v>15</v>
      </c>
      <c r="E101" s="3" t="s">
        <v>19</v>
      </c>
      <c r="F101" s="3">
        <v>1293000.0</v>
      </c>
      <c r="G101" s="3">
        <v>1228350.0</v>
      </c>
      <c r="H101" s="3" t="str">
        <f t="shared" si="1"/>
        <v>Fare Increase</v>
      </c>
      <c r="I101" s="3" t="str">
        <f t="shared" si="2"/>
        <v>Issued</v>
      </c>
    </row>
    <row r="102">
      <c r="A102" s="3" t="s">
        <v>134</v>
      </c>
      <c r="B102" s="4">
        <v>46225.0</v>
      </c>
      <c r="C102" s="3" t="s">
        <v>25</v>
      </c>
      <c r="D102" s="3" t="s">
        <v>15</v>
      </c>
      <c r="E102" s="3" t="s">
        <v>61</v>
      </c>
      <c r="F102" s="3">
        <v>1742000.0</v>
      </c>
      <c r="G102" s="3">
        <v>1654900.0</v>
      </c>
      <c r="H102" s="3" t="str">
        <f t="shared" si="1"/>
        <v>Fare Increase</v>
      </c>
      <c r="I102" s="3" t="str">
        <f t="shared" si="2"/>
        <v>Issued</v>
      </c>
    </row>
    <row r="103">
      <c r="A103" s="3" t="s">
        <v>135</v>
      </c>
      <c r="B103" s="4">
        <v>46213.0</v>
      </c>
      <c r="C103" s="3" t="s">
        <v>30</v>
      </c>
      <c r="D103" s="3" t="s">
        <v>15</v>
      </c>
      <c r="E103" s="3" t="s">
        <v>136</v>
      </c>
      <c r="F103" s="3">
        <v>1569000.0</v>
      </c>
      <c r="G103" s="3">
        <v>1490550.0</v>
      </c>
      <c r="H103" s="3" t="str">
        <f t="shared" si="1"/>
        <v>Fare Increase</v>
      </c>
      <c r="I103" s="3" t="str">
        <f t="shared" si="2"/>
        <v>Issued</v>
      </c>
    </row>
    <row r="104">
      <c r="A104" s="3" t="s">
        <v>137</v>
      </c>
      <c r="B104" s="4">
        <v>46349.0</v>
      </c>
      <c r="C104" s="3" t="s">
        <v>10</v>
      </c>
      <c r="D104" s="3" t="s">
        <v>11</v>
      </c>
      <c r="E104" s="3" t="s">
        <v>35</v>
      </c>
      <c r="F104" s="3">
        <v>4334000.0</v>
      </c>
      <c r="G104" s="3">
        <v>6067600.0</v>
      </c>
      <c r="H104" s="3" t="str">
        <f t="shared" si="1"/>
        <v>Fare Increase</v>
      </c>
      <c r="I104" s="3" t="str">
        <f t="shared" si="2"/>
        <v>Issued</v>
      </c>
    </row>
    <row r="105">
      <c r="A105" s="3" t="s">
        <v>138</v>
      </c>
      <c r="B105" s="4">
        <v>46145.0</v>
      </c>
      <c r="C105" s="3" t="s">
        <v>30</v>
      </c>
      <c r="D105" s="3" t="s">
        <v>15</v>
      </c>
      <c r="E105" s="3" t="s">
        <v>21</v>
      </c>
      <c r="F105" s="3">
        <v>3642000.0</v>
      </c>
      <c r="G105" s="3">
        <v>9105000.0</v>
      </c>
      <c r="H105" s="3" t="str">
        <f t="shared" si="1"/>
        <v>Normal</v>
      </c>
      <c r="I105" s="3" t="str">
        <f t="shared" si="2"/>
        <v>Issued</v>
      </c>
    </row>
    <row r="106">
      <c r="A106" s="3" t="s">
        <v>139</v>
      </c>
      <c r="B106" s="4">
        <v>46136.0</v>
      </c>
      <c r="C106" s="3" t="s">
        <v>25</v>
      </c>
      <c r="D106" s="3" t="s">
        <v>15</v>
      </c>
      <c r="E106" s="3" t="s">
        <v>116</v>
      </c>
      <c r="F106" s="3">
        <v>1096000.0</v>
      </c>
      <c r="G106" s="3">
        <v>1260400.0</v>
      </c>
      <c r="H106" s="3" t="str">
        <f t="shared" si="1"/>
        <v>Fare Increase</v>
      </c>
      <c r="I106" s="3" t="str">
        <f t="shared" si="2"/>
        <v>Issued</v>
      </c>
    </row>
    <row r="107">
      <c r="A107" s="3" t="s">
        <v>140</v>
      </c>
      <c r="B107" s="4">
        <v>46143.0</v>
      </c>
      <c r="C107" s="3" t="s">
        <v>14</v>
      </c>
      <c r="D107" s="3" t="s">
        <v>15</v>
      </c>
      <c r="E107" s="3" t="s">
        <v>37</v>
      </c>
      <c r="F107" s="3">
        <v>1176000.0</v>
      </c>
      <c r="G107" s="3">
        <v>1117200.0</v>
      </c>
      <c r="H107" s="3" t="str">
        <f t="shared" si="1"/>
        <v>Over Buffer</v>
      </c>
      <c r="I107" s="3" t="str">
        <f t="shared" si="2"/>
        <v>Refund</v>
      </c>
    </row>
    <row r="108">
      <c r="A108" s="3" t="s">
        <v>141</v>
      </c>
      <c r="B108" s="4">
        <v>46118.0</v>
      </c>
      <c r="C108" s="3" t="s">
        <v>14</v>
      </c>
      <c r="D108" s="3" t="s">
        <v>15</v>
      </c>
      <c r="E108" s="3" t="s">
        <v>37</v>
      </c>
      <c r="F108" s="3">
        <v>1578000.0</v>
      </c>
      <c r="G108" s="3">
        <v>3945000.0</v>
      </c>
      <c r="H108" s="3" t="str">
        <f t="shared" si="1"/>
        <v>Normal</v>
      </c>
      <c r="I108" s="3" t="str">
        <f t="shared" si="2"/>
        <v>Issued</v>
      </c>
    </row>
    <row r="109">
      <c r="A109" s="3" t="s">
        <v>142</v>
      </c>
      <c r="B109" s="4">
        <v>46352.0</v>
      </c>
      <c r="C109" s="3" t="s">
        <v>14</v>
      </c>
      <c r="D109" s="3" t="s">
        <v>15</v>
      </c>
      <c r="E109" s="3" t="s">
        <v>37</v>
      </c>
      <c r="F109" s="3">
        <v>1689000.0</v>
      </c>
      <c r="G109" s="3">
        <v>2364600.0</v>
      </c>
      <c r="H109" s="3" t="str">
        <f t="shared" si="1"/>
        <v>Fare Increase</v>
      </c>
      <c r="I109" s="3" t="str">
        <f t="shared" si="2"/>
        <v>Issued</v>
      </c>
    </row>
    <row r="110">
      <c r="A110" s="3" t="s">
        <v>143</v>
      </c>
      <c r="B110" s="4">
        <v>46341.0</v>
      </c>
      <c r="C110" s="3" t="s">
        <v>18</v>
      </c>
      <c r="D110" s="3" t="s">
        <v>11</v>
      </c>
      <c r="E110" s="3" t="s">
        <v>35</v>
      </c>
      <c r="F110" s="3">
        <v>987000.0</v>
      </c>
      <c r="G110" s="3">
        <v>1135050.0</v>
      </c>
      <c r="H110" s="3" t="str">
        <f t="shared" si="1"/>
        <v>Normal</v>
      </c>
      <c r="I110" s="3" t="str">
        <f t="shared" si="2"/>
        <v>Issued</v>
      </c>
    </row>
    <row r="111">
      <c r="A111" s="3" t="s">
        <v>144</v>
      </c>
      <c r="B111" s="4">
        <v>46339.0</v>
      </c>
      <c r="C111" s="3" t="s">
        <v>14</v>
      </c>
      <c r="D111" s="3" t="s">
        <v>15</v>
      </c>
      <c r="E111" s="3" t="s">
        <v>16</v>
      </c>
      <c r="F111" s="3">
        <v>1021000.0</v>
      </c>
      <c r="G111" s="3">
        <v>1174150.0</v>
      </c>
      <c r="H111" s="3" t="str">
        <f t="shared" si="1"/>
        <v>Over Buffer</v>
      </c>
      <c r="I111" s="3" t="str">
        <f t="shared" si="2"/>
        <v>Refund</v>
      </c>
    </row>
    <row r="112">
      <c r="A112" s="3" t="s">
        <v>145</v>
      </c>
      <c r="B112" s="4">
        <v>46108.0</v>
      </c>
      <c r="C112" s="3" t="s">
        <v>14</v>
      </c>
      <c r="D112" s="3" t="s">
        <v>15</v>
      </c>
      <c r="E112" s="3" t="s">
        <v>16</v>
      </c>
      <c r="F112" s="3">
        <v>786000.0</v>
      </c>
      <c r="G112" s="3">
        <v>1965000.0</v>
      </c>
      <c r="H112" s="3" t="str">
        <f t="shared" si="1"/>
        <v>Over Buffer</v>
      </c>
      <c r="I112" s="3" t="str">
        <f t="shared" si="2"/>
        <v>Refund</v>
      </c>
    </row>
    <row r="113">
      <c r="A113" s="3" t="s">
        <v>146</v>
      </c>
      <c r="B113" s="4">
        <v>46197.0</v>
      </c>
      <c r="C113" s="3" t="s">
        <v>25</v>
      </c>
      <c r="D113" s="3" t="s">
        <v>15</v>
      </c>
      <c r="E113" s="3" t="s">
        <v>42</v>
      </c>
      <c r="F113" s="3">
        <v>1374000.0</v>
      </c>
      <c r="G113" s="3">
        <v>3435000.0</v>
      </c>
      <c r="H113" s="3" t="str">
        <f t="shared" si="1"/>
        <v>Normal</v>
      </c>
      <c r="I113" s="3" t="str">
        <f t="shared" si="2"/>
        <v>Issued</v>
      </c>
    </row>
    <row r="114">
      <c r="A114" s="3" t="s">
        <v>147</v>
      </c>
      <c r="B114" s="4">
        <v>46104.0</v>
      </c>
      <c r="C114" s="3" t="s">
        <v>18</v>
      </c>
      <c r="D114" s="3" t="s">
        <v>11</v>
      </c>
      <c r="E114" s="3" t="s">
        <v>63</v>
      </c>
      <c r="F114" s="3">
        <v>1467000.0</v>
      </c>
      <c r="G114" s="3">
        <v>1393650.0</v>
      </c>
      <c r="H114" s="3" t="str">
        <f t="shared" si="1"/>
        <v>Normal</v>
      </c>
      <c r="I114" s="3" t="str">
        <f t="shared" si="2"/>
        <v>Issued</v>
      </c>
    </row>
    <row r="115">
      <c r="A115" s="3" t="s">
        <v>148</v>
      </c>
      <c r="B115" s="4">
        <v>46278.0</v>
      </c>
      <c r="C115" s="3" t="s">
        <v>30</v>
      </c>
      <c r="D115" s="3" t="s">
        <v>15</v>
      </c>
      <c r="E115" s="3" t="s">
        <v>42</v>
      </c>
      <c r="F115" s="3">
        <v>3950000.0</v>
      </c>
      <c r="G115" s="3">
        <v>9875000.0</v>
      </c>
      <c r="H115" s="3" t="str">
        <f t="shared" si="1"/>
        <v>Normal</v>
      </c>
      <c r="I115" s="3" t="str">
        <f t="shared" si="2"/>
        <v>Issued</v>
      </c>
    </row>
    <row r="116">
      <c r="A116" s="3" t="s">
        <v>149</v>
      </c>
      <c r="B116" s="4">
        <v>46134.0</v>
      </c>
      <c r="C116" s="3" t="s">
        <v>30</v>
      </c>
      <c r="D116" s="3" t="s">
        <v>15</v>
      </c>
      <c r="E116" s="3" t="s">
        <v>100</v>
      </c>
      <c r="F116" s="3">
        <v>1894000.0</v>
      </c>
      <c r="G116" s="3">
        <v>1799300.0</v>
      </c>
      <c r="H116" s="3" t="str">
        <f t="shared" si="1"/>
        <v>Normal</v>
      </c>
      <c r="I116" s="3" t="str">
        <f t="shared" si="2"/>
        <v>Issued</v>
      </c>
    </row>
    <row r="117">
      <c r="A117" s="3" t="s">
        <v>150</v>
      </c>
      <c r="B117" s="4">
        <v>46291.0</v>
      </c>
      <c r="C117" s="3" t="s">
        <v>25</v>
      </c>
      <c r="D117" s="3" t="s">
        <v>15</v>
      </c>
      <c r="E117" s="3" t="s">
        <v>42</v>
      </c>
      <c r="F117" s="3">
        <v>1673000.0</v>
      </c>
      <c r="G117" s="3">
        <v>1589350.0</v>
      </c>
      <c r="H117" s="3" t="str">
        <f t="shared" si="1"/>
        <v>Fare Increase</v>
      </c>
      <c r="I117" s="3" t="str">
        <f t="shared" si="2"/>
        <v>Issued</v>
      </c>
    </row>
    <row r="118">
      <c r="A118" s="3" t="s">
        <v>151</v>
      </c>
      <c r="B118" s="4">
        <v>46029.0</v>
      </c>
      <c r="C118" s="3" t="s">
        <v>25</v>
      </c>
      <c r="D118" s="3" t="s">
        <v>15</v>
      </c>
      <c r="E118" s="3" t="s">
        <v>61</v>
      </c>
      <c r="F118" s="3">
        <v>1.2729E7</v>
      </c>
      <c r="G118" s="3">
        <v>1.78206E7</v>
      </c>
      <c r="H118" s="3" t="str">
        <f t="shared" si="1"/>
        <v>Fare Increase</v>
      </c>
      <c r="I118" s="3" t="str">
        <f t="shared" si="2"/>
        <v>Issued</v>
      </c>
    </row>
    <row r="119">
      <c r="A119" s="3" t="s">
        <v>152</v>
      </c>
      <c r="B119" s="4">
        <v>46168.0</v>
      </c>
      <c r="C119" s="3" t="s">
        <v>14</v>
      </c>
      <c r="D119" s="3" t="s">
        <v>15</v>
      </c>
      <c r="E119" s="3" t="s">
        <v>16</v>
      </c>
      <c r="F119" s="3">
        <v>976000.0</v>
      </c>
      <c r="G119" s="3">
        <v>927200.0</v>
      </c>
      <c r="H119" s="3" t="str">
        <f t="shared" si="1"/>
        <v>Fare Increase</v>
      </c>
      <c r="I119" s="3" t="str">
        <f t="shared" si="2"/>
        <v>Issued</v>
      </c>
    </row>
    <row r="120">
      <c r="A120" s="3" t="s">
        <v>153</v>
      </c>
      <c r="B120" s="4">
        <v>46267.0</v>
      </c>
      <c r="C120" s="3" t="s">
        <v>10</v>
      </c>
      <c r="D120" s="3" t="s">
        <v>11</v>
      </c>
      <c r="E120" s="3" t="s">
        <v>35</v>
      </c>
      <c r="F120" s="3">
        <v>1749000.0</v>
      </c>
      <c r="G120" s="3">
        <v>2011349.9999999998</v>
      </c>
      <c r="H120" s="3" t="str">
        <f t="shared" si="1"/>
        <v>Over Buffer</v>
      </c>
      <c r="I120" s="3" t="str">
        <f t="shared" si="2"/>
        <v>Refund</v>
      </c>
    </row>
    <row r="121">
      <c r="A121" s="3" t="s">
        <v>154</v>
      </c>
      <c r="B121" s="4">
        <v>46128.0</v>
      </c>
      <c r="C121" s="3" t="s">
        <v>14</v>
      </c>
      <c r="D121" s="3" t="s">
        <v>15</v>
      </c>
      <c r="E121" s="3" t="s">
        <v>37</v>
      </c>
      <c r="F121" s="3">
        <v>3368000.0</v>
      </c>
      <c r="G121" s="3">
        <v>3199600.0</v>
      </c>
      <c r="H121" s="3" t="str">
        <f t="shared" si="1"/>
        <v>Fare Increase</v>
      </c>
      <c r="I121" s="3" t="str">
        <f t="shared" si="2"/>
        <v>Issued</v>
      </c>
    </row>
    <row r="122">
      <c r="A122" s="3" t="s">
        <v>155</v>
      </c>
      <c r="B122" s="4">
        <v>46099.0</v>
      </c>
      <c r="C122" s="3" t="s">
        <v>14</v>
      </c>
      <c r="D122" s="3" t="s">
        <v>15</v>
      </c>
      <c r="E122" s="3" t="s">
        <v>63</v>
      </c>
      <c r="F122" s="3">
        <v>878000.0</v>
      </c>
      <c r="G122" s="3">
        <v>1009699.9999999999</v>
      </c>
      <c r="H122" s="3" t="str">
        <f t="shared" si="1"/>
        <v>Over Buffer</v>
      </c>
      <c r="I122" s="3" t="str">
        <f t="shared" si="2"/>
        <v>Refund</v>
      </c>
    </row>
    <row r="123">
      <c r="A123" s="3" t="s">
        <v>156</v>
      </c>
      <c r="B123" s="4">
        <v>46340.0</v>
      </c>
      <c r="C123" s="3" t="s">
        <v>10</v>
      </c>
      <c r="D123" s="3" t="s">
        <v>11</v>
      </c>
      <c r="E123" s="3" t="s">
        <v>19</v>
      </c>
      <c r="F123" s="3">
        <v>685000.0</v>
      </c>
      <c r="G123" s="3">
        <v>787749.9999999999</v>
      </c>
      <c r="H123" s="3" t="str">
        <f t="shared" si="1"/>
        <v>Fare Increase</v>
      </c>
      <c r="I123" s="3" t="str">
        <f t="shared" si="2"/>
        <v>Issued</v>
      </c>
    </row>
    <row r="124">
      <c r="A124" s="3" t="s">
        <v>157</v>
      </c>
      <c r="B124" s="4">
        <v>46244.0</v>
      </c>
      <c r="C124" s="3" t="s">
        <v>23</v>
      </c>
      <c r="D124" s="3" t="s">
        <v>15</v>
      </c>
      <c r="E124" s="3" t="s">
        <v>19</v>
      </c>
      <c r="F124" s="3">
        <v>6565000.0</v>
      </c>
      <c r="G124" s="3">
        <v>9191000.0</v>
      </c>
      <c r="H124" s="3" t="str">
        <f t="shared" si="1"/>
        <v>Fare Increase</v>
      </c>
      <c r="I124" s="3" t="str">
        <f t="shared" si="2"/>
        <v>Issued</v>
      </c>
    </row>
    <row r="125">
      <c r="A125" s="3" t="s">
        <v>158</v>
      </c>
      <c r="B125" s="4">
        <v>46098.0</v>
      </c>
      <c r="C125" s="3" t="s">
        <v>25</v>
      </c>
      <c r="D125" s="3" t="s">
        <v>15</v>
      </c>
      <c r="E125" s="3" t="s">
        <v>61</v>
      </c>
      <c r="F125" s="3">
        <v>3111000.0</v>
      </c>
      <c r="G125" s="3">
        <v>3577649.9999999995</v>
      </c>
      <c r="H125" s="3" t="str">
        <f t="shared" si="1"/>
        <v>Over Buffer</v>
      </c>
      <c r="I125" s="3" t="str">
        <f t="shared" si="2"/>
        <v>Refund</v>
      </c>
    </row>
    <row r="126">
      <c r="A126" s="3" t="s">
        <v>159</v>
      </c>
      <c r="B126" s="4">
        <v>46159.0</v>
      </c>
      <c r="C126" s="3" t="s">
        <v>14</v>
      </c>
      <c r="D126" s="3" t="s">
        <v>15</v>
      </c>
      <c r="E126" s="3" t="s">
        <v>16</v>
      </c>
      <c r="F126" s="3">
        <v>1388000.0</v>
      </c>
      <c r="G126" s="3">
        <v>3470000.0</v>
      </c>
      <c r="H126" s="3" t="str">
        <f t="shared" si="1"/>
        <v>Over Buffer</v>
      </c>
      <c r="I126" s="3" t="str">
        <f t="shared" si="2"/>
        <v>Refund</v>
      </c>
    </row>
    <row r="127">
      <c r="A127" s="3" t="s">
        <v>160</v>
      </c>
      <c r="B127" s="4">
        <v>46338.0</v>
      </c>
      <c r="C127" s="3" t="s">
        <v>30</v>
      </c>
      <c r="D127" s="3" t="s">
        <v>15</v>
      </c>
      <c r="E127" s="3" t="s">
        <v>161</v>
      </c>
      <c r="F127" s="3">
        <v>1059000.0</v>
      </c>
      <c r="G127" s="3">
        <v>1217850.0</v>
      </c>
      <c r="H127" s="3" t="str">
        <f t="shared" si="1"/>
        <v>Normal</v>
      </c>
      <c r="I127" s="3" t="str">
        <f t="shared" si="2"/>
        <v>Issued</v>
      </c>
    </row>
    <row r="128">
      <c r="A128" s="3" t="s">
        <v>162</v>
      </c>
      <c r="B128" s="4">
        <v>46358.0</v>
      </c>
      <c r="C128" s="3" t="s">
        <v>14</v>
      </c>
      <c r="D128" s="3" t="s">
        <v>15</v>
      </c>
      <c r="E128" s="3" t="s">
        <v>37</v>
      </c>
      <c r="F128" s="3">
        <v>1308000.0</v>
      </c>
      <c r="G128" s="3">
        <v>1831200.0</v>
      </c>
      <c r="H128" s="3" t="str">
        <f t="shared" si="1"/>
        <v>Normal</v>
      </c>
      <c r="I128" s="3" t="str">
        <f t="shared" si="2"/>
        <v>Issued</v>
      </c>
    </row>
    <row r="129">
      <c r="A129" s="3" t="s">
        <v>163</v>
      </c>
      <c r="B129" s="4">
        <v>46273.0</v>
      </c>
      <c r="C129" s="3" t="s">
        <v>30</v>
      </c>
      <c r="D129" s="3" t="s">
        <v>15</v>
      </c>
      <c r="E129" s="3" t="s">
        <v>100</v>
      </c>
      <c r="F129" s="3">
        <v>1.3865E7</v>
      </c>
      <c r="G129" s="3">
        <v>1.9411E7</v>
      </c>
      <c r="H129" s="3" t="str">
        <f t="shared" si="1"/>
        <v>Normal</v>
      </c>
      <c r="I129" s="3" t="str">
        <f t="shared" si="2"/>
        <v>Issued</v>
      </c>
    </row>
    <row r="130">
      <c r="A130" s="3" t="s">
        <v>164</v>
      </c>
      <c r="B130" s="4">
        <v>46241.0</v>
      </c>
      <c r="C130" s="3" t="s">
        <v>18</v>
      </c>
      <c r="D130" s="3" t="s">
        <v>11</v>
      </c>
      <c r="E130" s="3" t="s">
        <v>35</v>
      </c>
      <c r="F130" s="3">
        <v>483000.0</v>
      </c>
      <c r="G130" s="3">
        <v>555450.0</v>
      </c>
      <c r="H130" s="3" t="str">
        <f t="shared" si="1"/>
        <v>Fare Increase</v>
      </c>
      <c r="I130" s="3" t="str">
        <f t="shared" si="2"/>
        <v>Issued</v>
      </c>
    </row>
    <row r="131">
      <c r="A131" s="3" t="s">
        <v>165</v>
      </c>
      <c r="B131" s="4">
        <v>46038.0</v>
      </c>
      <c r="C131" s="3" t="s">
        <v>10</v>
      </c>
      <c r="D131" s="3" t="s">
        <v>11</v>
      </c>
      <c r="E131" s="3" t="s">
        <v>19</v>
      </c>
      <c r="F131" s="3">
        <v>466000.0</v>
      </c>
      <c r="G131" s="3">
        <v>442700.0</v>
      </c>
      <c r="H131" s="3" t="str">
        <f t="shared" si="1"/>
        <v>Over Buffer</v>
      </c>
      <c r="I131" s="3" t="str">
        <f t="shared" si="2"/>
        <v>Refund</v>
      </c>
    </row>
    <row r="132">
      <c r="A132" s="3" t="s">
        <v>166</v>
      </c>
      <c r="B132" s="4">
        <v>46113.0</v>
      </c>
      <c r="C132" s="3" t="s">
        <v>23</v>
      </c>
      <c r="D132" s="3" t="s">
        <v>15</v>
      </c>
      <c r="E132" s="3" t="s">
        <v>31</v>
      </c>
      <c r="F132" s="3">
        <v>1485000.0</v>
      </c>
      <c r="G132" s="3">
        <v>1707749.9999999998</v>
      </c>
      <c r="H132" s="3" t="str">
        <f t="shared" si="1"/>
        <v>Fare Increase</v>
      </c>
      <c r="I132" s="3" t="str">
        <f t="shared" si="2"/>
        <v>Issued</v>
      </c>
    </row>
    <row r="133">
      <c r="A133" s="3" t="s">
        <v>167</v>
      </c>
      <c r="B133" s="4">
        <v>46379.0</v>
      </c>
      <c r="C133" s="3" t="s">
        <v>23</v>
      </c>
      <c r="D133" s="3" t="s">
        <v>15</v>
      </c>
      <c r="E133" s="3" t="s">
        <v>19</v>
      </c>
      <c r="F133" s="3">
        <v>1776000.0</v>
      </c>
      <c r="G133" s="3">
        <v>4440000.0</v>
      </c>
      <c r="H133" s="3" t="str">
        <f t="shared" si="1"/>
        <v>Over Buffer</v>
      </c>
      <c r="I133" s="3" t="str">
        <f t="shared" si="2"/>
        <v>Refund</v>
      </c>
    </row>
    <row r="134">
      <c r="A134" s="3" t="s">
        <v>168</v>
      </c>
      <c r="B134" s="4">
        <v>46246.0</v>
      </c>
      <c r="C134" s="3" t="s">
        <v>14</v>
      </c>
      <c r="D134" s="3" t="s">
        <v>15</v>
      </c>
      <c r="E134" s="3" t="s">
        <v>63</v>
      </c>
      <c r="F134" s="3">
        <v>737000.0</v>
      </c>
      <c r="G134" s="3">
        <v>700150.0</v>
      </c>
      <c r="H134" s="3" t="str">
        <f t="shared" si="1"/>
        <v>Fare Increase</v>
      </c>
      <c r="I134" s="3" t="str">
        <f t="shared" si="2"/>
        <v>Issued</v>
      </c>
    </row>
    <row r="135">
      <c r="A135" s="3" t="s">
        <v>169</v>
      </c>
      <c r="B135" s="4">
        <v>46162.0</v>
      </c>
      <c r="C135" s="3" t="s">
        <v>25</v>
      </c>
      <c r="D135" s="3" t="s">
        <v>15</v>
      </c>
      <c r="E135" s="3" t="s">
        <v>116</v>
      </c>
      <c r="F135" s="3">
        <v>730000.0</v>
      </c>
      <c r="G135" s="3">
        <v>839499.9999999999</v>
      </c>
      <c r="H135" s="3" t="str">
        <f t="shared" si="1"/>
        <v>Fare Increase</v>
      </c>
      <c r="I135" s="3" t="str">
        <f t="shared" si="2"/>
        <v>Issued</v>
      </c>
    </row>
    <row r="136">
      <c r="A136" s="3" t="s">
        <v>170</v>
      </c>
      <c r="B136" s="4">
        <v>46329.0</v>
      </c>
      <c r="C136" s="3" t="s">
        <v>14</v>
      </c>
      <c r="D136" s="3" t="s">
        <v>15</v>
      </c>
      <c r="E136" s="3" t="s">
        <v>63</v>
      </c>
      <c r="F136" s="3">
        <v>7013000.0</v>
      </c>
      <c r="G136" s="3">
        <v>6662350.0</v>
      </c>
      <c r="H136" s="3" t="str">
        <f t="shared" si="1"/>
        <v>Fare Increase</v>
      </c>
      <c r="I136" s="3" t="str">
        <f t="shared" si="2"/>
        <v>Issued</v>
      </c>
    </row>
    <row r="137">
      <c r="A137" s="3" t="s">
        <v>171</v>
      </c>
      <c r="B137" s="4">
        <v>46221.0</v>
      </c>
      <c r="C137" s="3" t="s">
        <v>25</v>
      </c>
      <c r="D137" s="3" t="s">
        <v>15</v>
      </c>
      <c r="E137" s="3" t="s">
        <v>26</v>
      </c>
      <c r="F137" s="3">
        <v>1484000.0</v>
      </c>
      <c r="G137" s="3">
        <v>3710000.0</v>
      </c>
      <c r="H137" s="3" t="str">
        <f t="shared" si="1"/>
        <v>Over Buffer</v>
      </c>
      <c r="I137" s="3" t="str">
        <f t="shared" si="2"/>
        <v>Refund</v>
      </c>
    </row>
    <row r="138">
      <c r="A138" s="3" t="s">
        <v>172</v>
      </c>
      <c r="B138" s="4">
        <v>46329.0</v>
      </c>
      <c r="C138" s="3" t="s">
        <v>14</v>
      </c>
      <c r="D138" s="3" t="s">
        <v>15</v>
      </c>
      <c r="E138" s="3" t="s">
        <v>16</v>
      </c>
      <c r="F138" s="3">
        <v>9546000.0</v>
      </c>
      <c r="G138" s="3">
        <v>2.3865E7</v>
      </c>
      <c r="H138" s="3" t="str">
        <f t="shared" si="1"/>
        <v>Over Buffer</v>
      </c>
      <c r="I138" s="3" t="str">
        <f t="shared" si="2"/>
        <v>Refund</v>
      </c>
    </row>
    <row r="139">
      <c r="A139" s="3" t="s">
        <v>173</v>
      </c>
      <c r="B139" s="4">
        <v>46293.0</v>
      </c>
      <c r="C139" s="3" t="s">
        <v>23</v>
      </c>
      <c r="D139" s="3" t="s">
        <v>15</v>
      </c>
      <c r="E139" s="3" t="s">
        <v>31</v>
      </c>
      <c r="F139" s="3">
        <v>925000.0</v>
      </c>
      <c r="G139" s="3">
        <v>878750.0</v>
      </c>
      <c r="H139" s="3" t="str">
        <f t="shared" si="1"/>
        <v>Fare Increase</v>
      </c>
      <c r="I139" s="3" t="str">
        <f t="shared" si="2"/>
        <v>Issued</v>
      </c>
    </row>
    <row r="140">
      <c r="A140" s="3" t="s">
        <v>174</v>
      </c>
      <c r="B140" s="4">
        <v>46257.0</v>
      </c>
      <c r="C140" s="3" t="s">
        <v>23</v>
      </c>
      <c r="D140" s="3" t="s">
        <v>15</v>
      </c>
      <c r="E140" s="3" t="s">
        <v>31</v>
      </c>
      <c r="F140" s="3">
        <v>1392000.0</v>
      </c>
      <c r="G140" s="3">
        <v>1322400.0</v>
      </c>
      <c r="H140" s="3" t="str">
        <f t="shared" si="1"/>
        <v>Fare Increase</v>
      </c>
      <c r="I140" s="3" t="str">
        <f t="shared" si="2"/>
        <v>Issued</v>
      </c>
    </row>
    <row r="141">
      <c r="A141" s="3" t="s">
        <v>175</v>
      </c>
      <c r="B141" s="4">
        <v>46260.0</v>
      </c>
      <c r="C141" s="3" t="s">
        <v>10</v>
      </c>
      <c r="D141" s="3" t="s">
        <v>11</v>
      </c>
      <c r="E141" s="3" t="s">
        <v>35</v>
      </c>
      <c r="F141" s="3">
        <v>1410000.0</v>
      </c>
      <c r="G141" s="3">
        <v>1339500.0</v>
      </c>
      <c r="H141" s="3" t="str">
        <f t="shared" si="1"/>
        <v>Over Buffer</v>
      </c>
      <c r="I141" s="3" t="str">
        <f t="shared" si="2"/>
        <v>Refund</v>
      </c>
    </row>
    <row r="142">
      <c r="A142" s="3" t="s">
        <v>176</v>
      </c>
      <c r="B142" s="4">
        <v>46357.0</v>
      </c>
      <c r="C142" s="3" t="s">
        <v>18</v>
      </c>
      <c r="D142" s="3" t="s">
        <v>11</v>
      </c>
      <c r="E142" s="3" t="s">
        <v>19</v>
      </c>
      <c r="F142" s="3">
        <v>1795000.0</v>
      </c>
      <c r="G142" s="3">
        <v>1705250.0</v>
      </c>
      <c r="H142" s="3" t="str">
        <f t="shared" si="1"/>
        <v>Normal</v>
      </c>
      <c r="I142" s="3" t="str">
        <f t="shared" si="2"/>
        <v>Issued</v>
      </c>
    </row>
    <row r="143">
      <c r="A143" s="3" t="s">
        <v>177</v>
      </c>
      <c r="B143" s="4">
        <v>46070.0</v>
      </c>
      <c r="C143" s="3" t="s">
        <v>30</v>
      </c>
      <c r="D143" s="3" t="s">
        <v>15</v>
      </c>
      <c r="E143" s="3" t="s">
        <v>100</v>
      </c>
      <c r="F143" s="3">
        <v>5222000.0</v>
      </c>
      <c r="G143" s="3">
        <v>6005300.0</v>
      </c>
      <c r="H143" s="3" t="str">
        <f t="shared" si="1"/>
        <v>Fare Increase</v>
      </c>
      <c r="I143" s="3" t="str">
        <f t="shared" si="2"/>
        <v>Issued</v>
      </c>
    </row>
    <row r="144">
      <c r="A144" s="3" t="s">
        <v>178</v>
      </c>
      <c r="B144" s="4">
        <v>46208.0</v>
      </c>
      <c r="C144" s="3" t="s">
        <v>18</v>
      </c>
      <c r="D144" s="3" t="s">
        <v>11</v>
      </c>
      <c r="E144" s="3" t="s">
        <v>21</v>
      </c>
      <c r="F144" s="3">
        <v>742000.0</v>
      </c>
      <c r="G144" s="3">
        <v>853299.9999999999</v>
      </c>
      <c r="H144" s="3" t="str">
        <f t="shared" si="1"/>
        <v>Fare Increase</v>
      </c>
      <c r="I144" s="3" t="str">
        <f t="shared" si="2"/>
        <v>Issued</v>
      </c>
    </row>
    <row r="145">
      <c r="A145" s="3" t="s">
        <v>179</v>
      </c>
      <c r="B145" s="4">
        <v>46377.0</v>
      </c>
      <c r="C145" s="3" t="s">
        <v>14</v>
      </c>
      <c r="D145" s="3" t="s">
        <v>15</v>
      </c>
      <c r="E145" s="3" t="s">
        <v>63</v>
      </c>
      <c r="F145" s="3">
        <v>603000.0</v>
      </c>
      <c r="G145" s="3">
        <v>844200.0</v>
      </c>
      <c r="H145" s="3" t="str">
        <f t="shared" si="1"/>
        <v>Normal</v>
      </c>
      <c r="I145" s="3" t="str">
        <f t="shared" si="2"/>
        <v>Issued</v>
      </c>
    </row>
    <row r="146">
      <c r="A146" s="3" t="s">
        <v>180</v>
      </c>
      <c r="B146" s="4">
        <v>46222.0</v>
      </c>
      <c r="C146" s="3" t="s">
        <v>30</v>
      </c>
      <c r="D146" s="3" t="s">
        <v>15</v>
      </c>
      <c r="E146" s="3" t="s">
        <v>161</v>
      </c>
      <c r="F146" s="3">
        <v>996000.0</v>
      </c>
      <c r="G146" s="3">
        <v>2490000.0</v>
      </c>
      <c r="H146" s="3" t="str">
        <f t="shared" si="1"/>
        <v>Normal</v>
      </c>
      <c r="I146" s="3" t="str">
        <f t="shared" si="2"/>
        <v>Issued</v>
      </c>
    </row>
    <row r="147">
      <c r="A147" s="3" t="s">
        <v>181</v>
      </c>
      <c r="B147" s="4">
        <v>46344.0</v>
      </c>
      <c r="C147" s="3" t="s">
        <v>18</v>
      </c>
      <c r="D147" s="3" t="s">
        <v>11</v>
      </c>
      <c r="E147" s="3" t="s">
        <v>63</v>
      </c>
      <c r="F147" s="3">
        <v>1286000.0</v>
      </c>
      <c r="G147" s="3">
        <v>1478900.0</v>
      </c>
      <c r="H147" s="3" t="str">
        <f t="shared" si="1"/>
        <v>Over Buffer</v>
      </c>
      <c r="I147" s="3" t="str">
        <f t="shared" si="2"/>
        <v>Refund</v>
      </c>
    </row>
    <row r="148">
      <c r="A148" s="3" t="s">
        <v>182</v>
      </c>
      <c r="B148" s="4">
        <v>46359.0</v>
      </c>
      <c r="C148" s="3" t="s">
        <v>30</v>
      </c>
      <c r="D148" s="3" t="s">
        <v>15</v>
      </c>
      <c r="E148" s="3" t="s">
        <v>100</v>
      </c>
      <c r="F148" s="3">
        <v>1577000.0</v>
      </c>
      <c r="G148" s="3">
        <v>3942500.0</v>
      </c>
      <c r="H148" s="3" t="str">
        <f t="shared" si="1"/>
        <v>Fare Increase</v>
      </c>
      <c r="I148" s="3" t="str">
        <f t="shared" si="2"/>
        <v>Issued</v>
      </c>
    </row>
    <row r="149">
      <c r="A149" s="3" t="s">
        <v>183</v>
      </c>
      <c r="B149" s="4">
        <v>46206.0</v>
      </c>
      <c r="C149" s="3" t="s">
        <v>23</v>
      </c>
      <c r="D149" s="3" t="s">
        <v>15</v>
      </c>
      <c r="E149" s="3" t="s">
        <v>19</v>
      </c>
      <c r="F149" s="3">
        <v>881000.0</v>
      </c>
      <c r="G149" s="3">
        <v>1233400.0</v>
      </c>
      <c r="H149" s="3" t="str">
        <f t="shared" si="1"/>
        <v>Fare Increase</v>
      </c>
      <c r="I149" s="3" t="str">
        <f t="shared" si="2"/>
        <v>Issued</v>
      </c>
    </row>
    <row r="150">
      <c r="A150" s="3" t="s">
        <v>184</v>
      </c>
      <c r="B150" s="4">
        <v>46297.0</v>
      </c>
      <c r="C150" s="3" t="s">
        <v>10</v>
      </c>
      <c r="D150" s="3" t="s">
        <v>11</v>
      </c>
      <c r="E150" s="3" t="s">
        <v>21</v>
      </c>
      <c r="F150" s="3">
        <v>585000.0</v>
      </c>
      <c r="G150" s="3">
        <v>672750.0</v>
      </c>
      <c r="H150" s="3" t="str">
        <f t="shared" si="1"/>
        <v>Over Buffer</v>
      </c>
      <c r="I150" s="3" t="str">
        <f t="shared" si="2"/>
        <v>Refund</v>
      </c>
    </row>
    <row r="151">
      <c r="A151" s="3" t="s">
        <v>185</v>
      </c>
      <c r="B151" s="4">
        <v>46163.0</v>
      </c>
      <c r="C151" s="3" t="s">
        <v>18</v>
      </c>
      <c r="D151" s="3" t="s">
        <v>11</v>
      </c>
      <c r="E151" s="3" t="s">
        <v>35</v>
      </c>
      <c r="F151" s="3">
        <v>1243000.0</v>
      </c>
      <c r="G151" s="3">
        <v>3107500.0</v>
      </c>
      <c r="H151" s="3" t="str">
        <f t="shared" si="1"/>
        <v>Fare Increase</v>
      </c>
      <c r="I151" s="3" t="str">
        <f t="shared" si="2"/>
        <v>Issued</v>
      </c>
    </row>
    <row r="152">
      <c r="A152" s="3" t="s">
        <v>186</v>
      </c>
      <c r="B152" s="4">
        <v>46251.0</v>
      </c>
      <c r="C152" s="3" t="s">
        <v>30</v>
      </c>
      <c r="D152" s="3" t="s">
        <v>15</v>
      </c>
      <c r="E152" s="3" t="s">
        <v>78</v>
      </c>
      <c r="F152" s="3">
        <v>3528000.0</v>
      </c>
      <c r="G152" s="3">
        <v>8820000.0</v>
      </c>
      <c r="H152" s="3" t="str">
        <f t="shared" si="1"/>
        <v>Fare Increase</v>
      </c>
      <c r="I152" s="3" t="str">
        <f t="shared" si="2"/>
        <v>Issued</v>
      </c>
    </row>
    <row r="153">
      <c r="A153" s="3" t="s">
        <v>187</v>
      </c>
      <c r="B153" s="4">
        <v>46185.0</v>
      </c>
      <c r="C153" s="3" t="s">
        <v>23</v>
      </c>
      <c r="D153" s="3" t="s">
        <v>15</v>
      </c>
      <c r="E153" s="3" t="s">
        <v>33</v>
      </c>
      <c r="F153" s="3">
        <v>669000.0</v>
      </c>
      <c r="G153" s="3">
        <v>635550.0</v>
      </c>
      <c r="H153" s="3" t="str">
        <f t="shared" si="1"/>
        <v>Normal</v>
      </c>
      <c r="I153" s="3" t="str">
        <f t="shared" si="2"/>
        <v>Issued</v>
      </c>
    </row>
    <row r="154">
      <c r="A154" s="3" t="s">
        <v>188</v>
      </c>
      <c r="B154" s="4">
        <v>46304.0</v>
      </c>
      <c r="C154" s="3" t="s">
        <v>14</v>
      </c>
      <c r="D154" s="3" t="s">
        <v>15</v>
      </c>
      <c r="E154" s="3" t="s">
        <v>37</v>
      </c>
      <c r="F154" s="3">
        <v>5750000.0</v>
      </c>
      <c r="G154" s="3">
        <v>5462500.0</v>
      </c>
      <c r="H154" s="3" t="str">
        <f t="shared" si="1"/>
        <v>Normal</v>
      </c>
      <c r="I154" s="3" t="str">
        <f t="shared" si="2"/>
        <v>Issued</v>
      </c>
    </row>
    <row r="155">
      <c r="A155" s="3" t="s">
        <v>189</v>
      </c>
      <c r="B155" s="4">
        <v>46115.0</v>
      </c>
      <c r="C155" s="3" t="s">
        <v>10</v>
      </c>
      <c r="D155" s="3" t="s">
        <v>11</v>
      </c>
      <c r="E155" s="3" t="s">
        <v>12</v>
      </c>
      <c r="F155" s="3">
        <v>1.3164E7</v>
      </c>
      <c r="G155" s="3">
        <v>1.25058E7</v>
      </c>
      <c r="H155" s="3" t="str">
        <f t="shared" si="1"/>
        <v>Fare Increase</v>
      </c>
      <c r="I155" s="3" t="str">
        <f t="shared" si="2"/>
        <v>Issued</v>
      </c>
    </row>
    <row r="156">
      <c r="A156" s="3" t="s">
        <v>190</v>
      </c>
      <c r="B156" s="4">
        <v>46327.0</v>
      </c>
      <c r="C156" s="3" t="s">
        <v>30</v>
      </c>
      <c r="D156" s="3" t="s">
        <v>15</v>
      </c>
      <c r="E156" s="3" t="s">
        <v>136</v>
      </c>
      <c r="F156" s="3">
        <v>4557000.0</v>
      </c>
      <c r="G156" s="3">
        <v>6379800.0</v>
      </c>
      <c r="H156" s="3" t="str">
        <f t="shared" si="1"/>
        <v>Over Buffer</v>
      </c>
      <c r="I156" s="3" t="str">
        <f t="shared" si="2"/>
        <v>Refund</v>
      </c>
    </row>
    <row r="157">
      <c r="A157" s="3" t="s">
        <v>191</v>
      </c>
      <c r="B157" s="4">
        <v>46167.0</v>
      </c>
      <c r="C157" s="3" t="s">
        <v>14</v>
      </c>
      <c r="D157" s="3" t="s">
        <v>15</v>
      </c>
      <c r="E157" s="3" t="s">
        <v>63</v>
      </c>
      <c r="F157" s="3">
        <v>985000.0</v>
      </c>
      <c r="G157" s="3">
        <v>2462500.0</v>
      </c>
      <c r="H157" s="3" t="str">
        <f t="shared" si="1"/>
        <v>Fare Increase</v>
      </c>
      <c r="I157" s="3" t="str">
        <f t="shared" si="2"/>
        <v>Issued</v>
      </c>
    </row>
    <row r="158">
      <c r="A158" s="3" t="s">
        <v>192</v>
      </c>
      <c r="B158" s="4">
        <v>46032.0</v>
      </c>
      <c r="C158" s="3" t="s">
        <v>30</v>
      </c>
      <c r="D158" s="3" t="s">
        <v>15</v>
      </c>
      <c r="E158" s="3" t="s">
        <v>61</v>
      </c>
      <c r="F158" s="3">
        <v>8738000.0</v>
      </c>
      <c r="G158" s="3">
        <v>1.22332E7</v>
      </c>
      <c r="H158" s="3" t="str">
        <f t="shared" si="1"/>
        <v>Fare Increase</v>
      </c>
      <c r="I158" s="3" t="str">
        <f t="shared" si="2"/>
        <v>Issued</v>
      </c>
    </row>
    <row r="159">
      <c r="A159" s="3" t="s">
        <v>193</v>
      </c>
      <c r="B159" s="4">
        <v>46288.0</v>
      </c>
      <c r="C159" s="3" t="s">
        <v>23</v>
      </c>
      <c r="D159" s="3" t="s">
        <v>15</v>
      </c>
      <c r="E159" s="3" t="s">
        <v>31</v>
      </c>
      <c r="F159" s="3">
        <v>887000.0</v>
      </c>
      <c r="G159" s="3">
        <v>2217500.0</v>
      </c>
      <c r="H159" s="3" t="str">
        <f t="shared" si="1"/>
        <v>Over Buffer</v>
      </c>
      <c r="I159" s="3" t="str">
        <f t="shared" si="2"/>
        <v>Refund</v>
      </c>
    </row>
    <row r="160">
      <c r="A160" s="3" t="s">
        <v>194</v>
      </c>
      <c r="B160" s="4">
        <v>46030.0</v>
      </c>
      <c r="C160" s="3" t="s">
        <v>14</v>
      </c>
      <c r="D160" s="3" t="s">
        <v>15</v>
      </c>
      <c r="E160" s="3" t="s">
        <v>16</v>
      </c>
      <c r="F160" s="3">
        <v>1123000.0</v>
      </c>
      <c r="G160" s="3">
        <v>1291450.0</v>
      </c>
      <c r="H160" s="3" t="str">
        <f t="shared" si="1"/>
        <v>Fare Increase</v>
      </c>
      <c r="I160" s="3" t="str">
        <f t="shared" si="2"/>
        <v>Issued</v>
      </c>
    </row>
    <row r="161">
      <c r="A161" s="3" t="s">
        <v>195</v>
      </c>
      <c r="B161" s="4">
        <v>46374.0</v>
      </c>
      <c r="C161" s="3" t="s">
        <v>23</v>
      </c>
      <c r="D161" s="3" t="s">
        <v>15</v>
      </c>
      <c r="E161" s="3" t="s">
        <v>19</v>
      </c>
      <c r="F161" s="3">
        <v>564000.0</v>
      </c>
      <c r="G161" s="3">
        <v>789600.0</v>
      </c>
      <c r="H161" s="3" t="str">
        <f t="shared" si="1"/>
        <v>Normal</v>
      </c>
      <c r="I161" s="3" t="str">
        <f t="shared" si="2"/>
        <v>Issued</v>
      </c>
    </row>
    <row r="162">
      <c r="A162" s="3" t="s">
        <v>196</v>
      </c>
      <c r="B162" s="4">
        <v>46346.0</v>
      </c>
      <c r="C162" s="3" t="s">
        <v>10</v>
      </c>
      <c r="D162" s="3" t="s">
        <v>11</v>
      </c>
      <c r="E162" s="3" t="s">
        <v>35</v>
      </c>
      <c r="F162" s="3">
        <v>3534000.0</v>
      </c>
      <c r="G162" s="3">
        <v>4064099.9999999995</v>
      </c>
      <c r="H162" s="3" t="str">
        <f t="shared" si="1"/>
        <v>Fare Increase</v>
      </c>
      <c r="I162" s="3" t="str">
        <f t="shared" si="2"/>
        <v>Issued</v>
      </c>
    </row>
    <row r="163">
      <c r="A163" s="3" t="s">
        <v>197</v>
      </c>
      <c r="B163" s="4">
        <v>46256.0</v>
      </c>
      <c r="C163" s="3" t="s">
        <v>23</v>
      </c>
      <c r="D163" s="3" t="s">
        <v>15</v>
      </c>
      <c r="E163" s="3" t="s">
        <v>19</v>
      </c>
      <c r="F163" s="3">
        <v>1753000.0</v>
      </c>
      <c r="G163" s="3">
        <v>4382500.0</v>
      </c>
      <c r="H163" s="3" t="str">
        <f t="shared" si="1"/>
        <v>Over Buffer</v>
      </c>
      <c r="I163" s="3" t="str">
        <f t="shared" si="2"/>
        <v>Refund</v>
      </c>
    </row>
    <row r="164">
      <c r="A164" s="3" t="s">
        <v>198</v>
      </c>
      <c r="B164" s="4">
        <v>46273.0</v>
      </c>
      <c r="C164" s="3" t="s">
        <v>10</v>
      </c>
      <c r="D164" s="3" t="s">
        <v>11</v>
      </c>
      <c r="E164" s="3" t="s">
        <v>12</v>
      </c>
      <c r="F164" s="3">
        <v>526000.0</v>
      </c>
      <c r="G164" s="3">
        <v>1315000.0</v>
      </c>
      <c r="H164" s="3" t="str">
        <f t="shared" si="1"/>
        <v>Fare Increase</v>
      </c>
      <c r="I164" s="3" t="str">
        <f t="shared" si="2"/>
        <v>Issued</v>
      </c>
    </row>
    <row r="165">
      <c r="A165" s="3" t="s">
        <v>199</v>
      </c>
      <c r="B165" s="4">
        <v>46210.0</v>
      </c>
      <c r="C165" s="3" t="s">
        <v>30</v>
      </c>
      <c r="D165" s="3" t="s">
        <v>15</v>
      </c>
      <c r="E165" s="3" t="s">
        <v>63</v>
      </c>
      <c r="F165" s="3">
        <v>9487000.0</v>
      </c>
      <c r="G165" s="3">
        <v>1.32818E7</v>
      </c>
      <c r="H165" s="3" t="str">
        <f t="shared" si="1"/>
        <v>Over Buffer</v>
      </c>
      <c r="I165" s="3" t="str">
        <f t="shared" si="2"/>
        <v>Refund</v>
      </c>
    </row>
    <row r="166">
      <c r="A166" s="3" t="s">
        <v>200</v>
      </c>
      <c r="B166" s="4">
        <v>46149.0</v>
      </c>
      <c r="C166" s="3" t="s">
        <v>23</v>
      </c>
      <c r="D166" s="3" t="s">
        <v>15</v>
      </c>
      <c r="E166" s="3" t="s">
        <v>33</v>
      </c>
      <c r="F166" s="3">
        <v>7012000.0</v>
      </c>
      <c r="G166" s="3">
        <v>8063799.999999999</v>
      </c>
      <c r="H166" s="3" t="str">
        <f t="shared" si="1"/>
        <v>Over Buffer</v>
      </c>
      <c r="I166" s="3" t="str">
        <f t="shared" si="2"/>
        <v>Refund</v>
      </c>
    </row>
    <row r="167">
      <c r="A167" s="3" t="s">
        <v>201</v>
      </c>
      <c r="B167" s="4">
        <v>46373.0</v>
      </c>
      <c r="C167" s="3" t="s">
        <v>14</v>
      </c>
      <c r="D167" s="3" t="s">
        <v>15</v>
      </c>
      <c r="E167" s="3" t="s">
        <v>16</v>
      </c>
      <c r="F167" s="3">
        <v>770000.0</v>
      </c>
      <c r="G167" s="3">
        <v>1925000.0</v>
      </c>
      <c r="H167" s="3" t="str">
        <f t="shared" si="1"/>
        <v>Normal</v>
      </c>
      <c r="I167" s="3" t="str">
        <f t="shared" si="2"/>
        <v>Issued</v>
      </c>
    </row>
    <row r="168">
      <c r="A168" s="3" t="s">
        <v>202</v>
      </c>
      <c r="B168" s="4">
        <v>46302.0</v>
      </c>
      <c r="C168" s="3" t="s">
        <v>30</v>
      </c>
      <c r="D168" s="3" t="s">
        <v>15</v>
      </c>
      <c r="E168" s="3" t="s">
        <v>136</v>
      </c>
      <c r="F168" s="3">
        <v>1779000.0</v>
      </c>
      <c r="G168" s="3">
        <v>1690050.0</v>
      </c>
      <c r="H168" s="3" t="str">
        <f t="shared" si="1"/>
        <v>Over Buffer</v>
      </c>
      <c r="I168" s="3" t="str">
        <f t="shared" si="2"/>
        <v>Refund</v>
      </c>
    </row>
    <row r="169">
      <c r="A169" s="3" t="s">
        <v>203</v>
      </c>
      <c r="B169" s="4">
        <v>46266.0</v>
      </c>
      <c r="C169" s="3" t="s">
        <v>10</v>
      </c>
      <c r="D169" s="3" t="s">
        <v>11</v>
      </c>
      <c r="E169" s="3" t="s">
        <v>12</v>
      </c>
      <c r="F169" s="3">
        <v>1585000.0</v>
      </c>
      <c r="G169" s="3">
        <v>1822749.9999999998</v>
      </c>
      <c r="H169" s="3" t="str">
        <f t="shared" si="1"/>
        <v>Fare Increase</v>
      </c>
      <c r="I169" s="3" t="str">
        <f t="shared" si="2"/>
        <v>Issued</v>
      </c>
    </row>
    <row r="170">
      <c r="A170" s="3" t="s">
        <v>204</v>
      </c>
      <c r="B170" s="4">
        <v>46259.0</v>
      </c>
      <c r="C170" s="3" t="s">
        <v>25</v>
      </c>
      <c r="D170" s="3" t="s">
        <v>15</v>
      </c>
      <c r="E170" s="3" t="s">
        <v>42</v>
      </c>
      <c r="F170" s="3">
        <v>9992000.0</v>
      </c>
      <c r="G170" s="3">
        <v>1.14908E7</v>
      </c>
      <c r="H170" s="3" t="str">
        <f t="shared" si="1"/>
        <v>Fare Increase</v>
      </c>
      <c r="I170" s="3" t="str">
        <f t="shared" si="2"/>
        <v>Issued</v>
      </c>
    </row>
    <row r="171">
      <c r="A171" s="3" t="s">
        <v>205</v>
      </c>
      <c r="B171" s="4">
        <v>46084.0</v>
      </c>
      <c r="C171" s="3" t="s">
        <v>30</v>
      </c>
      <c r="D171" s="3" t="s">
        <v>15</v>
      </c>
      <c r="E171" s="3" t="s">
        <v>19</v>
      </c>
      <c r="F171" s="3">
        <v>1201000.0</v>
      </c>
      <c r="G171" s="3">
        <v>1140950.0</v>
      </c>
      <c r="H171" s="3" t="str">
        <f t="shared" si="1"/>
        <v>Normal</v>
      </c>
      <c r="I171" s="3" t="str">
        <f t="shared" si="2"/>
        <v>Issued</v>
      </c>
    </row>
    <row r="172">
      <c r="A172" s="3" t="s">
        <v>206</v>
      </c>
      <c r="B172" s="4">
        <v>46348.0</v>
      </c>
      <c r="C172" s="3" t="s">
        <v>14</v>
      </c>
      <c r="D172" s="3" t="s">
        <v>15</v>
      </c>
      <c r="E172" s="3" t="s">
        <v>37</v>
      </c>
      <c r="F172" s="3">
        <v>537000.0</v>
      </c>
      <c r="G172" s="3">
        <v>510150.0</v>
      </c>
      <c r="H172" s="3" t="str">
        <f t="shared" si="1"/>
        <v>Fare Increase</v>
      </c>
      <c r="I172" s="3" t="str">
        <f t="shared" si="2"/>
        <v>Issued</v>
      </c>
    </row>
    <row r="173">
      <c r="A173" s="3" t="s">
        <v>207</v>
      </c>
      <c r="B173" s="4">
        <v>46117.0</v>
      </c>
      <c r="C173" s="3" t="s">
        <v>30</v>
      </c>
      <c r="D173" s="3" t="s">
        <v>15</v>
      </c>
      <c r="E173" s="3" t="s">
        <v>42</v>
      </c>
      <c r="F173" s="3">
        <v>1771000.0</v>
      </c>
      <c r="G173" s="3">
        <v>4427500.0</v>
      </c>
      <c r="H173" s="3" t="str">
        <f t="shared" si="1"/>
        <v>Fare Increase</v>
      </c>
      <c r="I173" s="3" t="str">
        <f t="shared" si="2"/>
        <v>Issued</v>
      </c>
    </row>
    <row r="174">
      <c r="A174" s="3" t="s">
        <v>208</v>
      </c>
      <c r="B174" s="4">
        <v>46208.0</v>
      </c>
      <c r="C174" s="3" t="s">
        <v>23</v>
      </c>
      <c r="D174" s="3" t="s">
        <v>15</v>
      </c>
      <c r="E174" s="3" t="s">
        <v>33</v>
      </c>
      <c r="F174" s="3">
        <v>3657000.0</v>
      </c>
      <c r="G174" s="3">
        <v>4205550.0</v>
      </c>
      <c r="H174" s="3" t="str">
        <f t="shared" si="1"/>
        <v>Over Buffer</v>
      </c>
      <c r="I174" s="3" t="str">
        <f t="shared" si="2"/>
        <v>Refund</v>
      </c>
    </row>
    <row r="175">
      <c r="A175" s="3" t="s">
        <v>209</v>
      </c>
      <c r="B175" s="4">
        <v>46149.0</v>
      </c>
      <c r="C175" s="3" t="s">
        <v>30</v>
      </c>
      <c r="D175" s="3" t="s">
        <v>15</v>
      </c>
      <c r="E175" s="3" t="s">
        <v>19</v>
      </c>
      <c r="F175" s="3">
        <v>900000.0</v>
      </c>
      <c r="G175" s="3">
        <v>1034999.9999999999</v>
      </c>
      <c r="H175" s="3" t="str">
        <f t="shared" si="1"/>
        <v>Fare Increase</v>
      </c>
      <c r="I175" s="3" t="str">
        <f t="shared" si="2"/>
        <v>Issued</v>
      </c>
    </row>
    <row r="176">
      <c r="A176" s="3" t="s">
        <v>210</v>
      </c>
      <c r="B176" s="4">
        <v>46254.0</v>
      </c>
      <c r="C176" s="3" t="s">
        <v>25</v>
      </c>
      <c r="D176" s="3" t="s">
        <v>15</v>
      </c>
      <c r="E176" s="3" t="s">
        <v>26</v>
      </c>
      <c r="F176" s="3">
        <v>1.4719E7</v>
      </c>
      <c r="G176" s="3">
        <v>3.67975E7</v>
      </c>
      <c r="H176" s="3" t="str">
        <f t="shared" si="1"/>
        <v>Over Buffer</v>
      </c>
      <c r="I176" s="3" t="str">
        <f t="shared" si="2"/>
        <v>Refund</v>
      </c>
    </row>
    <row r="177">
      <c r="A177" s="3" t="s">
        <v>211</v>
      </c>
      <c r="B177" s="4">
        <v>46259.0</v>
      </c>
      <c r="C177" s="3" t="s">
        <v>25</v>
      </c>
      <c r="D177" s="3" t="s">
        <v>15</v>
      </c>
      <c r="E177" s="3" t="s">
        <v>42</v>
      </c>
      <c r="F177" s="3">
        <v>7483000.0</v>
      </c>
      <c r="G177" s="3">
        <v>1.04762E7</v>
      </c>
      <c r="H177" s="3" t="str">
        <f t="shared" si="1"/>
        <v>Fare Increase</v>
      </c>
      <c r="I177" s="3" t="str">
        <f t="shared" si="2"/>
        <v>Issued</v>
      </c>
    </row>
    <row r="178">
      <c r="A178" s="3" t="s">
        <v>212</v>
      </c>
      <c r="B178" s="4">
        <v>46195.0</v>
      </c>
      <c r="C178" s="3" t="s">
        <v>10</v>
      </c>
      <c r="D178" s="3" t="s">
        <v>11</v>
      </c>
      <c r="E178" s="3" t="s">
        <v>35</v>
      </c>
      <c r="F178" s="3">
        <v>1582000.0</v>
      </c>
      <c r="G178" s="3">
        <v>2214800.0</v>
      </c>
      <c r="H178" s="3" t="str">
        <f t="shared" si="1"/>
        <v>Fare Increase</v>
      </c>
      <c r="I178" s="3" t="str">
        <f t="shared" si="2"/>
        <v>Issued</v>
      </c>
    </row>
    <row r="179">
      <c r="A179" s="3" t="s">
        <v>213</v>
      </c>
      <c r="B179" s="4">
        <v>46273.0</v>
      </c>
      <c r="C179" s="3" t="s">
        <v>23</v>
      </c>
      <c r="D179" s="3" t="s">
        <v>15</v>
      </c>
      <c r="E179" s="3" t="s">
        <v>31</v>
      </c>
      <c r="F179" s="3">
        <v>838000.0</v>
      </c>
      <c r="G179" s="3">
        <v>796100.0</v>
      </c>
      <c r="H179" s="3" t="str">
        <f t="shared" si="1"/>
        <v>Normal</v>
      </c>
      <c r="I179" s="3" t="str">
        <f t="shared" si="2"/>
        <v>Issued</v>
      </c>
    </row>
    <row r="180">
      <c r="A180" s="3" t="s">
        <v>214</v>
      </c>
      <c r="B180" s="4">
        <v>46079.0</v>
      </c>
      <c r="C180" s="3" t="s">
        <v>10</v>
      </c>
      <c r="D180" s="3" t="s">
        <v>11</v>
      </c>
      <c r="E180" s="3" t="s">
        <v>21</v>
      </c>
      <c r="F180" s="3">
        <v>2178000.0</v>
      </c>
      <c r="G180" s="3">
        <v>2069100.0</v>
      </c>
      <c r="H180" s="3" t="str">
        <f t="shared" si="1"/>
        <v>Normal</v>
      </c>
      <c r="I180" s="3" t="str">
        <f t="shared" si="2"/>
        <v>Issued</v>
      </c>
    </row>
    <row r="181">
      <c r="A181" s="3" t="s">
        <v>215</v>
      </c>
      <c r="B181" s="4">
        <v>46285.0</v>
      </c>
      <c r="C181" s="3" t="s">
        <v>10</v>
      </c>
      <c r="D181" s="3" t="s">
        <v>11</v>
      </c>
      <c r="E181" s="3" t="s">
        <v>12</v>
      </c>
      <c r="F181" s="3">
        <v>1420000.0</v>
      </c>
      <c r="G181" s="3">
        <v>1632999.9999999998</v>
      </c>
      <c r="H181" s="3" t="str">
        <f t="shared" si="1"/>
        <v>Fare Increase</v>
      </c>
      <c r="I181" s="3" t="str">
        <f t="shared" si="2"/>
        <v>Issued</v>
      </c>
    </row>
    <row r="182">
      <c r="A182" s="3" t="s">
        <v>216</v>
      </c>
      <c r="B182" s="4">
        <v>46221.0</v>
      </c>
      <c r="C182" s="3" t="s">
        <v>18</v>
      </c>
      <c r="D182" s="3" t="s">
        <v>11</v>
      </c>
      <c r="E182" s="3" t="s">
        <v>63</v>
      </c>
      <c r="F182" s="3">
        <v>1286000.0</v>
      </c>
      <c r="G182" s="3">
        <v>3215000.0</v>
      </c>
      <c r="H182" s="3" t="str">
        <f t="shared" si="1"/>
        <v>Normal</v>
      </c>
      <c r="I182" s="3" t="str">
        <f t="shared" si="2"/>
        <v>Issued</v>
      </c>
    </row>
    <row r="183">
      <c r="A183" s="3" t="s">
        <v>217</v>
      </c>
      <c r="B183" s="4">
        <v>46074.0</v>
      </c>
      <c r="C183" s="3" t="s">
        <v>14</v>
      </c>
      <c r="D183" s="3" t="s">
        <v>15</v>
      </c>
      <c r="E183" s="3" t="s">
        <v>37</v>
      </c>
      <c r="F183" s="3">
        <v>3791000.0</v>
      </c>
      <c r="G183" s="3">
        <v>5307400.0</v>
      </c>
      <c r="H183" s="3" t="str">
        <f t="shared" si="1"/>
        <v>Fare Increase</v>
      </c>
      <c r="I183" s="3" t="str">
        <f t="shared" si="2"/>
        <v>Issued</v>
      </c>
    </row>
    <row r="184">
      <c r="A184" s="3" t="s">
        <v>218</v>
      </c>
      <c r="B184" s="4">
        <v>46241.0</v>
      </c>
      <c r="C184" s="3" t="s">
        <v>10</v>
      </c>
      <c r="D184" s="3" t="s">
        <v>11</v>
      </c>
      <c r="E184" s="3" t="s">
        <v>12</v>
      </c>
      <c r="F184" s="3">
        <v>1403000.0</v>
      </c>
      <c r="G184" s="3">
        <v>1613449.9999999998</v>
      </c>
      <c r="H184" s="3" t="str">
        <f t="shared" si="1"/>
        <v>Normal</v>
      </c>
      <c r="I184" s="3" t="str">
        <f t="shared" si="2"/>
        <v>Issued</v>
      </c>
    </row>
    <row r="185">
      <c r="A185" s="3" t="s">
        <v>219</v>
      </c>
      <c r="B185" s="4">
        <v>46117.0</v>
      </c>
      <c r="C185" s="3" t="s">
        <v>14</v>
      </c>
      <c r="D185" s="3" t="s">
        <v>15</v>
      </c>
      <c r="E185" s="3" t="s">
        <v>63</v>
      </c>
      <c r="F185" s="3">
        <v>1394000.0</v>
      </c>
      <c r="G185" s="3">
        <v>3485000.0</v>
      </c>
      <c r="H185" s="3" t="str">
        <f t="shared" si="1"/>
        <v>Normal</v>
      </c>
      <c r="I185" s="3" t="str">
        <f t="shared" si="2"/>
        <v>Issued</v>
      </c>
    </row>
    <row r="186">
      <c r="A186" s="3" t="s">
        <v>220</v>
      </c>
      <c r="B186" s="4">
        <v>46212.0</v>
      </c>
      <c r="C186" s="3" t="s">
        <v>23</v>
      </c>
      <c r="D186" s="3" t="s">
        <v>15</v>
      </c>
      <c r="E186" s="3" t="s">
        <v>19</v>
      </c>
      <c r="F186" s="3">
        <v>1250000.0</v>
      </c>
      <c r="G186" s="3">
        <v>1750000.0</v>
      </c>
      <c r="H186" s="3" t="str">
        <f t="shared" si="1"/>
        <v>Fare Increase</v>
      </c>
      <c r="I186" s="3" t="str">
        <f t="shared" si="2"/>
        <v>Issued</v>
      </c>
    </row>
    <row r="187">
      <c r="A187" s="3" t="s">
        <v>221</v>
      </c>
      <c r="B187" s="4">
        <v>46330.0</v>
      </c>
      <c r="C187" s="3" t="s">
        <v>23</v>
      </c>
      <c r="D187" s="3" t="s">
        <v>15</v>
      </c>
      <c r="E187" s="3" t="s">
        <v>19</v>
      </c>
      <c r="F187" s="3">
        <v>5136000.0</v>
      </c>
      <c r="G187" s="3">
        <v>4879200.0</v>
      </c>
      <c r="H187" s="3" t="str">
        <f t="shared" si="1"/>
        <v>Fare Increase</v>
      </c>
      <c r="I187" s="3" t="str">
        <f t="shared" si="2"/>
        <v>Issued</v>
      </c>
    </row>
    <row r="188">
      <c r="A188" s="3" t="s">
        <v>222</v>
      </c>
      <c r="B188" s="4">
        <v>46035.0</v>
      </c>
      <c r="C188" s="3" t="s">
        <v>10</v>
      </c>
      <c r="D188" s="3" t="s">
        <v>11</v>
      </c>
      <c r="E188" s="3" t="s">
        <v>12</v>
      </c>
      <c r="F188" s="3">
        <v>574000.0</v>
      </c>
      <c r="G188" s="3">
        <v>660100.0</v>
      </c>
      <c r="H188" s="3" t="str">
        <f t="shared" si="1"/>
        <v>Fare Increase</v>
      </c>
      <c r="I188" s="3" t="str">
        <f t="shared" si="2"/>
        <v>Issued</v>
      </c>
    </row>
    <row r="189">
      <c r="A189" s="3" t="s">
        <v>223</v>
      </c>
      <c r="B189" s="4">
        <v>46128.0</v>
      </c>
      <c r="C189" s="3" t="s">
        <v>25</v>
      </c>
      <c r="D189" s="3" t="s">
        <v>15</v>
      </c>
      <c r="E189" s="3" t="s">
        <v>26</v>
      </c>
      <c r="F189" s="3">
        <v>1418000.0</v>
      </c>
      <c r="G189" s="3">
        <v>3545000.0</v>
      </c>
      <c r="H189" s="3" t="str">
        <f t="shared" si="1"/>
        <v>Over Buffer</v>
      </c>
      <c r="I189" s="3" t="str">
        <f t="shared" si="2"/>
        <v>Refund</v>
      </c>
    </row>
    <row r="190">
      <c r="A190" s="3" t="s">
        <v>224</v>
      </c>
      <c r="B190" s="4">
        <v>46089.0</v>
      </c>
      <c r="C190" s="3" t="s">
        <v>14</v>
      </c>
      <c r="D190" s="3" t="s">
        <v>15</v>
      </c>
      <c r="E190" s="3" t="s">
        <v>63</v>
      </c>
      <c r="F190" s="3">
        <v>1.2459E7</v>
      </c>
      <c r="G190" s="3">
        <v>1.74426E7</v>
      </c>
      <c r="H190" s="3" t="str">
        <f t="shared" si="1"/>
        <v>Normal</v>
      </c>
      <c r="I190" s="3" t="str">
        <f t="shared" si="2"/>
        <v>Issued</v>
      </c>
    </row>
    <row r="191">
      <c r="A191" s="3" t="s">
        <v>225</v>
      </c>
      <c r="B191" s="4">
        <v>46030.0</v>
      </c>
      <c r="C191" s="3" t="s">
        <v>10</v>
      </c>
      <c r="D191" s="3" t="s">
        <v>11</v>
      </c>
      <c r="E191" s="3" t="s">
        <v>63</v>
      </c>
      <c r="F191" s="3">
        <v>771000.0</v>
      </c>
      <c r="G191" s="3">
        <v>1927500.0</v>
      </c>
      <c r="H191" s="3" t="str">
        <f t="shared" si="1"/>
        <v>Fare Increase</v>
      </c>
      <c r="I191" s="3" t="str">
        <f t="shared" si="2"/>
        <v>Issued</v>
      </c>
    </row>
    <row r="192">
      <c r="A192" s="3" t="s">
        <v>226</v>
      </c>
      <c r="B192" s="4">
        <v>46083.0</v>
      </c>
      <c r="C192" s="3" t="s">
        <v>18</v>
      </c>
      <c r="D192" s="3" t="s">
        <v>11</v>
      </c>
      <c r="E192" s="3" t="s">
        <v>21</v>
      </c>
      <c r="F192" s="3">
        <v>1388000.0</v>
      </c>
      <c r="G192" s="3">
        <v>3470000.0</v>
      </c>
      <c r="H192" s="3" t="str">
        <f t="shared" si="1"/>
        <v>Over Buffer</v>
      </c>
      <c r="I192" s="3" t="str">
        <f t="shared" si="2"/>
        <v>Refund</v>
      </c>
    </row>
    <row r="193">
      <c r="A193" s="3" t="s">
        <v>227</v>
      </c>
      <c r="B193" s="4">
        <v>46050.0</v>
      </c>
      <c r="C193" s="3" t="s">
        <v>23</v>
      </c>
      <c r="D193" s="3" t="s">
        <v>15</v>
      </c>
      <c r="E193" s="3" t="s">
        <v>33</v>
      </c>
      <c r="F193" s="3">
        <v>1453000.0</v>
      </c>
      <c r="G193" s="3">
        <v>1380350.0</v>
      </c>
      <c r="H193" s="3" t="str">
        <f t="shared" si="1"/>
        <v>Over Buffer</v>
      </c>
      <c r="I193" s="3" t="str">
        <f t="shared" si="2"/>
        <v>Refund</v>
      </c>
    </row>
    <row r="194">
      <c r="A194" s="3" t="s">
        <v>228</v>
      </c>
      <c r="B194" s="4">
        <v>46082.0</v>
      </c>
      <c r="C194" s="3" t="s">
        <v>30</v>
      </c>
      <c r="D194" s="3" t="s">
        <v>15</v>
      </c>
      <c r="E194" s="3" t="s">
        <v>161</v>
      </c>
      <c r="F194" s="3">
        <v>791000.0</v>
      </c>
      <c r="G194" s="3">
        <v>1977500.0</v>
      </c>
      <c r="H194" s="3" t="str">
        <f t="shared" si="1"/>
        <v>Over Buffer</v>
      </c>
      <c r="I194" s="3" t="str">
        <f t="shared" si="2"/>
        <v>Refund</v>
      </c>
    </row>
    <row r="195">
      <c r="A195" s="3" t="s">
        <v>229</v>
      </c>
      <c r="B195" s="4">
        <v>46162.0</v>
      </c>
      <c r="C195" s="3" t="s">
        <v>14</v>
      </c>
      <c r="D195" s="3" t="s">
        <v>15</v>
      </c>
      <c r="E195" s="3" t="s">
        <v>16</v>
      </c>
      <c r="F195" s="3">
        <v>1580000.0</v>
      </c>
      <c r="G195" s="3">
        <v>1816999.9999999998</v>
      </c>
      <c r="H195" s="3" t="str">
        <f t="shared" si="1"/>
        <v>Fare Increase</v>
      </c>
      <c r="I195" s="3" t="str">
        <f t="shared" si="2"/>
        <v>Issued</v>
      </c>
    </row>
    <row r="196">
      <c r="A196" s="3" t="s">
        <v>230</v>
      </c>
      <c r="B196" s="4">
        <v>46302.0</v>
      </c>
      <c r="C196" s="3" t="s">
        <v>18</v>
      </c>
      <c r="D196" s="3" t="s">
        <v>11</v>
      </c>
      <c r="E196" s="3" t="s">
        <v>19</v>
      </c>
      <c r="F196" s="3">
        <v>6622000.0</v>
      </c>
      <c r="G196" s="3">
        <v>9270800.0</v>
      </c>
      <c r="H196" s="3" t="str">
        <f t="shared" si="1"/>
        <v>Normal</v>
      </c>
      <c r="I196" s="3" t="str">
        <f t="shared" si="2"/>
        <v>Issued</v>
      </c>
    </row>
    <row r="197">
      <c r="A197" s="3" t="s">
        <v>231</v>
      </c>
      <c r="B197" s="4">
        <v>46239.0</v>
      </c>
      <c r="C197" s="3" t="s">
        <v>30</v>
      </c>
      <c r="D197" s="3" t="s">
        <v>15</v>
      </c>
      <c r="E197" s="3" t="s">
        <v>232</v>
      </c>
      <c r="F197" s="3">
        <v>681000.0</v>
      </c>
      <c r="G197" s="3">
        <v>646950.0</v>
      </c>
      <c r="H197" s="3" t="str">
        <f t="shared" si="1"/>
        <v>Fare Increase</v>
      </c>
      <c r="I197" s="3" t="str">
        <f t="shared" si="2"/>
        <v>Issued</v>
      </c>
    </row>
    <row r="198">
      <c r="A198" s="3" t="s">
        <v>233</v>
      </c>
      <c r="B198" s="4">
        <v>46371.0</v>
      </c>
      <c r="C198" s="3" t="s">
        <v>23</v>
      </c>
      <c r="D198" s="3" t="s">
        <v>15</v>
      </c>
      <c r="E198" s="3" t="s">
        <v>31</v>
      </c>
      <c r="F198" s="3">
        <v>1445000.0</v>
      </c>
      <c r="G198" s="3">
        <v>2022999.9999999998</v>
      </c>
      <c r="H198" s="3" t="str">
        <f t="shared" si="1"/>
        <v>Normal</v>
      </c>
      <c r="I198" s="3" t="str">
        <f t="shared" si="2"/>
        <v>Issued</v>
      </c>
    </row>
    <row r="199">
      <c r="A199" s="3" t="s">
        <v>234</v>
      </c>
      <c r="B199" s="4">
        <v>46175.0</v>
      </c>
      <c r="C199" s="3" t="s">
        <v>30</v>
      </c>
      <c r="D199" s="3" t="s">
        <v>15</v>
      </c>
      <c r="E199" s="3" t="s">
        <v>31</v>
      </c>
      <c r="F199" s="3">
        <v>705000.0</v>
      </c>
      <c r="G199" s="3">
        <v>810749.9999999999</v>
      </c>
      <c r="H199" s="3" t="str">
        <f t="shared" si="1"/>
        <v>Fare Increase</v>
      </c>
      <c r="I199" s="3" t="str">
        <f t="shared" si="2"/>
        <v>Issued</v>
      </c>
    </row>
    <row r="200">
      <c r="A200" s="3" t="s">
        <v>235</v>
      </c>
      <c r="B200" s="4">
        <v>46047.0</v>
      </c>
      <c r="C200" s="3" t="s">
        <v>18</v>
      </c>
      <c r="D200" s="3" t="s">
        <v>11</v>
      </c>
      <c r="E200" s="3" t="s">
        <v>35</v>
      </c>
      <c r="F200" s="3">
        <v>488000.0</v>
      </c>
      <c r="G200" s="3">
        <v>1220000.0</v>
      </c>
      <c r="H200" s="3" t="str">
        <f t="shared" si="1"/>
        <v>Fare Increase</v>
      </c>
      <c r="I200" s="3" t="str">
        <f t="shared" si="2"/>
        <v>Issued</v>
      </c>
    </row>
    <row r="201">
      <c r="A201" s="3" t="s">
        <v>236</v>
      </c>
      <c r="B201" s="4">
        <v>46057.0</v>
      </c>
      <c r="C201" s="3" t="s">
        <v>25</v>
      </c>
      <c r="D201" s="3" t="s">
        <v>15</v>
      </c>
      <c r="E201" s="3" t="s">
        <v>116</v>
      </c>
      <c r="F201" s="3">
        <v>1680000.0</v>
      </c>
      <c r="G201" s="3">
        <v>2352000.0</v>
      </c>
      <c r="H201" s="3" t="str">
        <f t="shared" si="1"/>
        <v>Fare Increase</v>
      </c>
      <c r="I201" s="3" t="str">
        <f t="shared" si="2"/>
        <v>Issued</v>
      </c>
    </row>
    <row r="202">
      <c r="A202" s="3" t="s">
        <v>237</v>
      </c>
      <c r="B202" s="4">
        <v>46035.0</v>
      </c>
      <c r="C202" s="3" t="s">
        <v>10</v>
      </c>
      <c r="D202" s="3" t="s">
        <v>11</v>
      </c>
      <c r="E202" s="3" t="s">
        <v>35</v>
      </c>
      <c r="F202" s="3">
        <v>1.2688E7</v>
      </c>
      <c r="G202" s="3">
        <v>3.172E7</v>
      </c>
      <c r="H202" s="3" t="str">
        <f t="shared" si="1"/>
        <v>Normal</v>
      </c>
      <c r="I202" s="3" t="str">
        <f t="shared" si="2"/>
        <v>Issued</v>
      </c>
    </row>
    <row r="203">
      <c r="A203" s="3" t="s">
        <v>238</v>
      </c>
      <c r="B203" s="4">
        <v>46160.0</v>
      </c>
      <c r="C203" s="3" t="s">
        <v>18</v>
      </c>
      <c r="D203" s="3" t="s">
        <v>11</v>
      </c>
      <c r="E203" s="3" t="s">
        <v>12</v>
      </c>
      <c r="F203" s="3">
        <v>1774000.0</v>
      </c>
      <c r="G203" s="3">
        <v>2483600.0</v>
      </c>
      <c r="H203" s="3" t="str">
        <f t="shared" si="1"/>
        <v>Fare Increase</v>
      </c>
      <c r="I203" s="3" t="str">
        <f t="shared" si="2"/>
        <v>Issued</v>
      </c>
    </row>
    <row r="204">
      <c r="A204" s="3" t="s">
        <v>239</v>
      </c>
      <c r="B204" s="4">
        <v>46367.0</v>
      </c>
      <c r="C204" s="3" t="s">
        <v>30</v>
      </c>
      <c r="D204" s="3" t="s">
        <v>15</v>
      </c>
      <c r="E204" s="3" t="s">
        <v>12</v>
      </c>
      <c r="F204" s="3">
        <v>1534000.0</v>
      </c>
      <c r="G204" s="3">
        <v>2147600.0</v>
      </c>
      <c r="H204" s="3" t="str">
        <f t="shared" si="1"/>
        <v>Fare Increase</v>
      </c>
      <c r="I204" s="3" t="str">
        <f t="shared" si="2"/>
        <v>Issued</v>
      </c>
    </row>
    <row r="205">
      <c r="A205" s="3" t="s">
        <v>240</v>
      </c>
      <c r="B205" s="4">
        <v>46109.0</v>
      </c>
      <c r="C205" s="3" t="s">
        <v>30</v>
      </c>
      <c r="D205" s="3" t="s">
        <v>15</v>
      </c>
      <c r="E205" s="3" t="s">
        <v>19</v>
      </c>
      <c r="F205" s="3">
        <v>735000.0</v>
      </c>
      <c r="G205" s="3">
        <v>698250.0</v>
      </c>
      <c r="H205" s="3" t="str">
        <f t="shared" si="1"/>
        <v>Fare Increase</v>
      </c>
      <c r="I205" s="3" t="str">
        <f t="shared" si="2"/>
        <v>Issued</v>
      </c>
    </row>
    <row r="206">
      <c r="A206" s="3" t="s">
        <v>241</v>
      </c>
      <c r="B206" s="4">
        <v>46025.0</v>
      </c>
      <c r="C206" s="3" t="s">
        <v>18</v>
      </c>
      <c r="D206" s="3" t="s">
        <v>11</v>
      </c>
      <c r="E206" s="3" t="s">
        <v>19</v>
      </c>
      <c r="F206" s="3">
        <v>1231000.0</v>
      </c>
      <c r="G206" s="3">
        <v>1169450.0</v>
      </c>
      <c r="H206" s="3" t="str">
        <f t="shared" si="1"/>
        <v>Fare Increase</v>
      </c>
      <c r="I206" s="3" t="str">
        <f t="shared" si="2"/>
        <v>Issued</v>
      </c>
    </row>
    <row r="207">
      <c r="A207" s="3" t="s">
        <v>242</v>
      </c>
      <c r="B207" s="4">
        <v>46257.0</v>
      </c>
      <c r="C207" s="3" t="s">
        <v>30</v>
      </c>
      <c r="D207" s="3" t="s">
        <v>15</v>
      </c>
      <c r="E207" s="3" t="s">
        <v>100</v>
      </c>
      <c r="F207" s="3">
        <v>1.3316E7</v>
      </c>
      <c r="G207" s="3">
        <v>1.86424E7</v>
      </c>
      <c r="H207" s="3" t="str">
        <f t="shared" si="1"/>
        <v>Fare Increase</v>
      </c>
      <c r="I207" s="3" t="str">
        <f t="shared" si="2"/>
        <v>Issued</v>
      </c>
    </row>
    <row r="208">
      <c r="A208" s="3" t="s">
        <v>243</v>
      </c>
      <c r="B208" s="4">
        <v>46287.0</v>
      </c>
      <c r="C208" s="3" t="s">
        <v>25</v>
      </c>
      <c r="D208" s="3" t="s">
        <v>15</v>
      </c>
      <c r="E208" s="3" t="s">
        <v>26</v>
      </c>
      <c r="F208" s="3">
        <v>3236000.0</v>
      </c>
      <c r="G208" s="3">
        <v>3074200.0</v>
      </c>
      <c r="H208" s="3" t="str">
        <f t="shared" si="1"/>
        <v>Fare Increase</v>
      </c>
      <c r="I208" s="3" t="str">
        <f t="shared" si="2"/>
        <v>Issued</v>
      </c>
    </row>
    <row r="209">
      <c r="A209" s="3" t="s">
        <v>244</v>
      </c>
      <c r="B209" s="4">
        <v>46380.0</v>
      </c>
      <c r="C209" s="3" t="s">
        <v>10</v>
      </c>
      <c r="D209" s="3" t="s">
        <v>11</v>
      </c>
      <c r="E209" s="3" t="s">
        <v>63</v>
      </c>
      <c r="F209" s="3">
        <v>1461000.0</v>
      </c>
      <c r="G209" s="3">
        <v>2045399.9999999998</v>
      </c>
      <c r="H209" s="3" t="str">
        <f t="shared" si="1"/>
        <v>Fare Increase</v>
      </c>
      <c r="I209" s="3" t="str">
        <f t="shared" si="2"/>
        <v>Issued</v>
      </c>
    </row>
    <row r="210">
      <c r="A210" s="3" t="s">
        <v>245</v>
      </c>
      <c r="B210" s="4">
        <v>46070.0</v>
      </c>
      <c r="C210" s="3" t="s">
        <v>23</v>
      </c>
      <c r="D210" s="3" t="s">
        <v>15</v>
      </c>
      <c r="E210" s="3" t="s">
        <v>31</v>
      </c>
      <c r="F210" s="3">
        <v>1076000.0</v>
      </c>
      <c r="G210" s="3">
        <v>1022200.0</v>
      </c>
      <c r="H210" s="3" t="str">
        <f t="shared" si="1"/>
        <v>Over Buffer</v>
      </c>
      <c r="I210" s="3" t="str">
        <f t="shared" si="2"/>
        <v>Refund</v>
      </c>
    </row>
    <row r="211">
      <c r="A211" s="3" t="s">
        <v>246</v>
      </c>
      <c r="B211" s="4">
        <v>46073.0</v>
      </c>
      <c r="C211" s="3" t="s">
        <v>25</v>
      </c>
      <c r="D211" s="3" t="s">
        <v>15</v>
      </c>
      <c r="E211" s="3" t="s">
        <v>26</v>
      </c>
      <c r="F211" s="3">
        <v>528000.0</v>
      </c>
      <c r="G211" s="3">
        <v>501600.0</v>
      </c>
      <c r="H211" s="3" t="str">
        <f t="shared" si="1"/>
        <v>Fare Increase</v>
      </c>
      <c r="I211" s="3" t="str">
        <f t="shared" si="2"/>
        <v>Issued</v>
      </c>
    </row>
    <row r="212">
      <c r="A212" s="3" t="s">
        <v>247</v>
      </c>
      <c r="B212" s="4">
        <v>46034.0</v>
      </c>
      <c r="C212" s="3" t="s">
        <v>30</v>
      </c>
      <c r="D212" s="3" t="s">
        <v>15</v>
      </c>
      <c r="E212" s="3" t="s">
        <v>12</v>
      </c>
      <c r="F212" s="3">
        <v>1390000.0</v>
      </c>
      <c r="G212" s="3">
        <v>1945999.9999999998</v>
      </c>
      <c r="H212" s="3" t="str">
        <f t="shared" si="1"/>
        <v>Over Buffer</v>
      </c>
      <c r="I212" s="3" t="str">
        <f t="shared" si="2"/>
        <v>Refund</v>
      </c>
    </row>
    <row r="213">
      <c r="A213" s="3" t="s">
        <v>248</v>
      </c>
      <c r="B213" s="4">
        <v>46350.0</v>
      </c>
      <c r="C213" s="3" t="s">
        <v>18</v>
      </c>
      <c r="D213" s="3" t="s">
        <v>11</v>
      </c>
      <c r="E213" s="3" t="s">
        <v>12</v>
      </c>
      <c r="F213" s="3">
        <v>514000.0</v>
      </c>
      <c r="G213" s="3">
        <v>719600.0</v>
      </c>
      <c r="H213" s="3" t="str">
        <f t="shared" si="1"/>
        <v>Normal</v>
      </c>
      <c r="I213" s="3" t="str">
        <f t="shared" si="2"/>
        <v>Issued</v>
      </c>
    </row>
    <row r="214">
      <c r="A214" s="3" t="s">
        <v>249</v>
      </c>
      <c r="B214" s="4">
        <v>46188.0</v>
      </c>
      <c r="C214" s="3" t="s">
        <v>25</v>
      </c>
      <c r="D214" s="3" t="s">
        <v>15</v>
      </c>
      <c r="E214" s="3" t="s">
        <v>26</v>
      </c>
      <c r="F214" s="3">
        <v>503000.0</v>
      </c>
      <c r="G214" s="3">
        <v>704200.0</v>
      </c>
      <c r="H214" s="3" t="str">
        <f t="shared" si="1"/>
        <v>Fare Increase</v>
      </c>
      <c r="I214" s="3" t="str">
        <f t="shared" si="2"/>
        <v>Issued</v>
      </c>
    </row>
    <row r="215">
      <c r="A215" s="3" t="s">
        <v>250</v>
      </c>
      <c r="B215" s="4">
        <v>46318.0</v>
      </c>
      <c r="C215" s="3" t="s">
        <v>14</v>
      </c>
      <c r="D215" s="3" t="s">
        <v>15</v>
      </c>
      <c r="E215" s="3" t="s">
        <v>37</v>
      </c>
      <c r="F215" s="3">
        <v>1063000.0</v>
      </c>
      <c r="G215" s="3">
        <v>2657500.0</v>
      </c>
      <c r="H215" s="3" t="str">
        <f t="shared" si="1"/>
        <v>Over Buffer</v>
      </c>
      <c r="I215" s="3" t="str">
        <f t="shared" si="2"/>
        <v>Refund</v>
      </c>
    </row>
    <row r="216">
      <c r="A216" s="3" t="s">
        <v>251</v>
      </c>
      <c r="B216" s="4">
        <v>46306.0</v>
      </c>
      <c r="C216" s="3" t="s">
        <v>18</v>
      </c>
      <c r="D216" s="3" t="s">
        <v>11</v>
      </c>
      <c r="E216" s="3" t="s">
        <v>19</v>
      </c>
      <c r="F216" s="3">
        <v>3017000.0</v>
      </c>
      <c r="G216" s="3">
        <v>2866150.0</v>
      </c>
      <c r="H216" s="3" t="str">
        <f t="shared" si="1"/>
        <v>Normal</v>
      </c>
      <c r="I216" s="3" t="str">
        <f t="shared" si="2"/>
        <v>Issued</v>
      </c>
    </row>
    <row r="217">
      <c r="A217" s="3" t="s">
        <v>252</v>
      </c>
      <c r="B217" s="4">
        <v>46083.0</v>
      </c>
      <c r="C217" s="3" t="s">
        <v>14</v>
      </c>
      <c r="D217" s="3" t="s">
        <v>15</v>
      </c>
      <c r="E217" s="3" t="s">
        <v>16</v>
      </c>
      <c r="F217" s="3">
        <v>4366000.0</v>
      </c>
      <c r="G217" s="3">
        <v>5020900.0</v>
      </c>
      <c r="H217" s="3" t="str">
        <f t="shared" si="1"/>
        <v>Fare Increase</v>
      </c>
      <c r="I217" s="3" t="str">
        <f t="shared" si="2"/>
        <v>Issued</v>
      </c>
    </row>
    <row r="218">
      <c r="A218" s="3" t="s">
        <v>253</v>
      </c>
      <c r="B218" s="4">
        <v>46126.0</v>
      </c>
      <c r="C218" s="3" t="s">
        <v>14</v>
      </c>
      <c r="D218" s="3" t="s">
        <v>15</v>
      </c>
      <c r="E218" s="3" t="s">
        <v>16</v>
      </c>
      <c r="F218" s="3">
        <v>1289000.0</v>
      </c>
      <c r="G218" s="3">
        <v>3222500.0</v>
      </c>
      <c r="H218" s="3" t="str">
        <f t="shared" si="1"/>
        <v>Fare Increase</v>
      </c>
      <c r="I218" s="3" t="str">
        <f t="shared" si="2"/>
        <v>Issued</v>
      </c>
    </row>
    <row r="219">
      <c r="A219" s="3" t="s">
        <v>254</v>
      </c>
      <c r="B219" s="4">
        <v>46350.0</v>
      </c>
      <c r="C219" s="3" t="s">
        <v>23</v>
      </c>
      <c r="D219" s="3" t="s">
        <v>15</v>
      </c>
      <c r="E219" s="3" t="s">
        <v>33</v>
      </c>
      <c r="F219" s="3">
        <v>1341000.0</v>
      </c>
      <c r="G219" s="3">
        <v>3352500.0</v>
      </c>
      <c r="H219" s="3" t="str">
        <f t="shared" si="1"/>
        <v>Fare Increase</v>
      </c>
      <c r="I219" s="3" t="str">
        <f t="shared" si="2"/>
        <v>Issued</v>
      </c>
    </row>
    <row r="220">
      <c r="A220" s="3" t="s">
        <v>255</v>
      </c>
      <c r="B220" s="4">
        <v>46347.0</v>
      </c>
      <c r="C220" s="3" t="s">
        <v>14</v>
      </c>
      <c r="D220" s="3" t="s">
        <v>15</v>
      </c>
      <c r="E220" s="3" t="s">
        <v>16</v>
      </c>
      <c r="F220" s="3">
        <v>957000.0</v>
      </c>
      <c r="G220" s="3">
        <v>2392500.0</v>
      </c>
      <c r="H220" s="3" t="str">
        <f t="shared" si="1"/>
        <v>Fare Increase</v>
      </c>
      <c r="I220" s="3" t="str">
        <f t="shared" si="2"/>
        <v>Issued</v>
      </c>
    </row>
    <row r="221">
      <c r="A221" s="3" t="s">
        <v>256</v>
      </c>
      <c r="B221" s="4">
        <v>46149.0</v>
      </c>
      <c r="C221" s="3" t="s">
        <v>14</v>
      </c>
      <c r="D221" s="3" t="s">
        <v>15</v>
      </c>
      <c r="E221" s="3" t="s">
        <v>63</v>
      </c>
      <c r="F221" s="3">
        <v>849000.0</v>
      </c>
      <c r="G221" s="3">
        <v>1188600.0</v>
      </c>
      <c r="H221" s="3" t="str">
        <f t="shared" si="1"/>
        <v>Fare Increase</v>
      </c>
      <c r="I221" s="3" t="str">
        <f t="shared" si="2"/>
        <v>Issued</v>
      </c>
    </row>
    <row r="222">
      <c r="A222" s="3" t="s">
        <v>257</v>
      </c>
      <c r="B222" s="4">
        <v>46300.0</v>
      </c>
      <c r="C222" s="3" t="s">
        <v>18</v>
      </c>
      <c r="D222" s="3" t="s">
        <v>11</v>
      </c>
      <c r="E222" s="3" t="s">
        <v>19</v>
      </c>
      <c r="F222" s="3">
        <v>1.2022E7</v>
      </c>
      <c r="G222" s="3">
        <v>1.14209E7</v>
      </c>
      <c r="H222" s="3" t="str">
        <f t="shared" si="1"/>
        <v>Normal</v>
      </c>
      <c r="I222" s="3" t="str">
        <f t="shared" si="2"/>
        <v>Issued</v>
      </c>
    </row>
    <row r="223">
      <c r="A223" s="3" t="s">
        <v>258</v>
      </c>
      <c r="B223" s="4">
        <v>46042.0</v>
      </c>
      <c r="C223" s="3" t="s">
        <v>30</v>
      </c>
      <c r="D223" s="3" t="s">
        <v>15</v>
      </c>
      <c r="E223" s="3" t="s">
        <v>12</v>
      </c>
      <c r="F223" s="3">
        <v>500000.0</v>
      </c>
      <c r="G223" s="3">
        <v>575000.0</v>
      </c>
      <c r="H223" s="3" t="str">
        <f t="shared" si="1"/>
        <v>Normal</v>
      </c>
      <c r="I223" s="3" t="str">
        <f t="shared" si="2"/>
        <v>Issued</v>
      </c>
    </row>
    <row r="224">
      <c r="A224" s="3" t="s">
        <v>259</v>
      </c>
      <c r="B224" s="4">
        <v>46275.0</v>
      </c>
      <c r="C224" s="3" t="s">
        <v>23</v>
      </c>
      <c r="D224" s="3" t="s">
        <v>15</v>
      </c>
      <c r="E224" s="3" t="s">
        <v>33</v>
      </c>
      <c r="F224" s="3">
        <v>1785000.0</v>
      </c>
      <c r="G224" s="3">
        <v>1695750.0</v>
      </c>
      <c r="H224" s="3" t="str">
        <f t="shared" si="1"/>
        <v>Normal</v>
      </c>
      <c r="I224" s="3" t="str">
        <f t="shared" si="2"/>
        <v>Issued</v>
      </c>
    </row>
    <row r="225">
      <c r="A225" s="3" t="s">
        <v>260</v>
      </c>
      <c r="B225" s="4">
        <v>46126.0</v>
      </c>
      <c r="C225" s="3" t="s">
        <v>14</v>
      </c>
      <c r="D225" s="3" t="s">
        <v>15</v>
      </c>
      <c r="E225" s="3" t="s">
        <v>63</v>
      </c>
      <c r="F225" s="3">
        <v>933000.0</v>
      </c>
      <c r="G225" s="3">
        <v>1306200.0</v>
      </c>
      <c r="H225" s="3" t="str">
        <f t="shared" si="1"/>
        <v>Fare Increase</v>
      </c>
      <c r="I225" s="3" t="str">
        <f t="shared" si="2"/>
        <v>Issued</v>
      </c>
    </row>
    <row r="226">
      <c r="A226" s="3" t="s">
        <v>261</v>
      </c>
      <c r="B226" s="4">
        <v>46228.0</v>
      </c>
      <c r="C226" s="3" t="s">
        <v>25</v>
      </c>
      <c r="D226" s="3" t="s">
        <v>15</v>
      </c>
      <c r="E226" s="3" t="s">
        <v>61</v>
      </c>
      <c r="F226" s="3">
        <v>9103000.0</v>
      </c>
      <c r="G226" s="3">
        <v>1.046845E7</v>
      </c>
      <c r="H226" s="3" t="str">
        <f t="shared" si="1"/>
        <v>Fare Increase</v>
      </c>
      <c r="I226" s="3" t="str">
        <f t="shared" si="2"/>
        <v>Issued</v>
      </c>
    </row>
    <row r="227">
      <c r="A227" s="3" t="s">
        <v>262</v>
      </c>
      <c r="B227" s="4">
        <v>46184.0</v>
      </c>
      <c r="C227" s="3" t="s">
        <v>25</v>
      </c>
      <c r="D227" s="3" t="s">
        <v>15</v>
      </c>
      <c r="E227" s="3" t="s">
        <v>61</v>
      </c>
      <c r="F227" s="3">
        <v>1441000.0</v>
      </c>
      <c r="G227" s="3">
        <v>1657149.9999999998</v>
      </c>
      <c r="H227" s="3" t="str">
        <f t="shared" si="1"/>
        <v>Over Buffer</v>
      </c>
      <c r="I227" s="3" t="str">
        <f t="shared" si="2"/>
        <v>Refund</v>
      </c>
    </row>
    <row r="228">
      <c r="A228" s="3" t="s">
        <v>263</v>
      </c>
      <c r="B228" s="4">
        <v>46358.0</v>
      </c>
      <c r="C228" s="3" t="s">
        <v>18</v>
      </c>
      <c r="D228" s="3" t="s">
        <v>11</v>
      </c>
      <c r="E228" s="3" t="s">
        <v>19</v>
      </c>
      <c r="F228" s="3">
        <v>951000.0</v>
      </c>
      <c r="G228" s="3">
        <v>903450.0</v>
      </c>
      <c r="H228" s="3" t="str">
        <f t="shared" si="1"/>
        <v>Fare Increase</v>
      </c>
      <c r="I228" s="3" t="str">
        <f t="shared" si="2"/>
        <v>Issued</v>
      </c>
    </row>
    <row r="229">
      <c r="A229" s="3" t="s">
        <v>264</v>
      </c>
      <c r="B229" s="4">
        <v>46306.0</v>
      </c>
      <c r="C229" s="3" t="s">
        <v>23</v>
      </c>
      <c r="D229" s="3" t="s">
        <v>15</v>
      </c>
      <c r="E229" s="3" t="s">
        <v>33</v>
      </c>
      <c r="F229" s="3">
        <v>1017000.0</v>
      </c>
      <c r="G229" s="3">
        <v>1423800.0</v>
      </c>
      <c r="H229" s="3" t="str">
        <f t="shared" si="1"/>
        <v>Fare Increase</v>
      </c>
      <c r="I229" s="3" t="str">
        <f t="shared" si="2"/>
        <v>Issued</v>
      </c>
    </row>
    <row r="230">
      <c r="A230" s="3" t="s">
        <v>265</v>
      </c>
      <c r="B230" s="4">
        <v>46360.0</v>
      </c>
      <c r="C230" s="3" t="s">
        <v>30</v>
      </c>
      <c r="D230" s="3" t="s">
        <v>15</v>
      </c>
      <c r="E230" s="3" t="s">
        <v>21</v>
      </c>
      <c r="F230" s="3">
        <v>633000.0</v>
      </c>
      <c r="G230" s="3">
        <v>727950.0</v>
      </c>
      <c r="H230" s="3" t="str">
        <f t="shared" si="1"/>
        <v>Normal</v>
      </c>
      <c r="I230" s="3" t="str">
        <f t="shared" si="2"/>
        <v>Issued</v>
      </c>
    </row>
    <row r="231">
      <c r="A231" s="3" t="s">
        <v>266</v>
      </c>
      <c r="B231" s="4">
        <v>46343.0</v>
      </c>
      <c r="C231" s="3" t="s">
        <v>30</v>
      </c>
      <c r="D231" s="3" t="s">
        <v>15</v>
      </c>
      <c r="E231" s="3" t="s">
        <v>37</v>
      </c>
      <c r="F231" s="3">
        <v>1.0017E7</v>
      </c>
      <c r="G231" s="3">
        <v>1.40238E7</v>
      </c>
      <c r="H231" s="3" t="str">
        <f t="shared" si="1"/>
        <v>Normal</v>
      </c>
      <c r="I231" s="3" t="str">
        <f t="shared" si="2"/>
        <v>Issued</v>
      </c>
    </row>
    <row r="232">
      <c r="A232" s="3" t="s">
        <v>267</v>
      </c>
      <c r="B232" s="4">
        <v>46365.0</v>
      </c>
      <c r="C232" s="3" t="s">
        <v>30</v>
      </c>
      <c r="D232" s="3" t="s">
        <v>15</v>
      </c>
      <c r="E232" s="3" t="s">
        <v>268</v>
      </c>
      <c r="F232" s="3">
        <v>729000.0</v>
      </c>
      <c r="G232" s="3">
        <v>838349.9999999999</v>
      </c>
      <c r="H232" s="3" t="str">
        <f t="shared" si="1"/>
        <v>Fare Increase</v>
      </c>
      <c r="I232" s="3" t="str">
        <f t="shared" si="2"/>
        <v>Issued</v>
      </c>
    </row>
    <row r="233">
      <c r="A233" s="3" t="s">
        <v>269</v>
      </c>
      <c r="B233" s="4">
        <v>46034.0</v>
      </c>
      <c r="C233" s="3" t="s">
        <v>18</v>
      </c>
      <c r="D233" s="3" t="s">
        <v>11</v>
      </c>
      <c r="E233" s="3" t="s">
        <v>12</v>
      </c>
      <c r="F233" s="3">
        <v>551000.0</v>
      </c>
      <c r="G233" s="3">
        <v>633650.0</v>
      </c>
      <c r="H233" s="3" t="str">
        <f t="shared" si="1"/>
        <v>Normal</v>
      </c>
      <c r="I233" s="3" t="str">
        <f t="shared" si="2"/>
        <v>Issued</v>
      </c>
    </row>
    <row r="234">
      <c r="A234" s="3" t="s">
        <v>270</v>
      </c>
      <c r="B234" s="4">
        <v>46257.0</v>
      </c>
      <c r="C234" s="3" t="s">
        <v>10</v>
      </c>
      <c r="D234" s="3" t="s">
        <v>11</v>
      </c>
      <c r="E234" s="3" t="s">
        <v>21</v>
      </c>
      <c r="F234" s="3">
        <v>1720000.0</v>
      </c>
      <c r="G234" s="3">
        <v>2408000.0</v>
      </c>
      <c r="H234" s="3" t="str">
        <f t="shared" si="1"/>
        <v>Normal</v>
      </c>
      <c r="I234" s="3" t="str">
        <f t="shared" si="2"/>
        <v>Issued</v>
      </c>
    </row>
    <row r="235">
      <c r="A235" s="3" t="s">
        <v>271</v>
      </c>
      <c r="B235" s="4">
        <v>46196.0</v>
      </c>
      <c r="C235" s="3" t="s">
        <v>25</v>
      </c>
      <c r="D235" s="3" t="s">
        <v>15</v>
      </c>
      <c r="E235" s="3" t="s">
        <v>42</v>
      </c>
      <c r="F235" s="3">
        <v>896000.0</v>
      </c>
      <c r="G235" s="3">
        <v>1030399.9999999999</v>
      </c>
      <c r="H235" s="3" t="str">
        <f t="shared" si="1"/>
        <v>Fare Increase</v>
      </c>
      <c r="I235" s="3" t="str">
        <f t="shared" si="2"/>
        <v>Issued</v>
      </c>
    </row>
    <row r="236">
      <c r="A236" s="3" t="s">
        <v>272</v>
      </c>
      <c r="B236" s="4">
        <v>46245.0</v>
      </c>
      <c r="C236" s="3" t="s">
        <v>23</v>
      </c>
      <c r="D236" s="3" t="s">
        <v>15</v>
      </c>
      <c r="E236" s="3" t="s">
        <v>19</v>
      </c>
      <c r="F236" s="3">
        <v>1111000.0</v>
      </c>
      <c r="G236" s="3">
        <v>2777500.0</v>
      </c>
      <c r="H236" s="3" t="str">
        <f t="shared" si="1"/>
        <v>Fare Increase</v>
      </c>
      <c r="I236" s="3" t="str">
        <f t="shared" si="2"/>
        <v>Issued</v>
      </c>
    </row>
    <row r="237">
      <c r="A237" s="3" t="s">
        <v>273</v>
      </c>
      <c r="B237" s="4">
        <v>46098.0</v>
      </c>
      <c r="C237" s="3" t="s">
        <v>25</v>
      </c>
      <c r="D237" s="3" t="s">
        <v>15</v>
      </c>
      <c r="E237" s="3" t="s">
        <v>116</v>
      </c>
      <c r="F237" s="3">
        <v>1067000.0</v>
      </c>
      <c r="G237" s="3">
        <v>1227050.0</v>
      </c>
      <c r="H237" s="3" t="str">
        <f t="shared" si="1"/>
        <v>Over Buffer</v>
      </c>
      <c r="I237" s="3" t="str">
        <f t="shared" si="2"/>
        <v>Refund</v>
      </c>
    </row>
    <row r="238">
      <c r="A238" s="3" t="s">
        <v>274</v>
      </c>
      <c r="B238" s="4">
        <v>46058.0</v>
      </c>
      <c r="C238" s="3" t="s">
        <v>25</v>
      </c>
      <c r="D238" s="3" t="s">
        <v>15</v>
      </c>
      <c r="E238" s="3" t="s">
        <v>42</v>
      </c>
      <c r="F238" s="3">
        <v>1276000.0</v>
      </c>
      <c r="G238" s="3">
        <v>3190000.0</v>
      </c>
      <c r="H238" s="3" t="str">
        <f t="shared" si="1"/>
        <v>Fare Increase</v>
      </c>
      <c r="I238" s="3" t="str">
        <f t="shared" si="2"/>
        <v>Issued</v>
      </c>
    </row>
    <row r="239">
      <c r="A239" s="3" t="s">
        <v>275</v>
      </c>
      <c r="B239" s="4">
        <v>46366.0</v>
      </c>
      <c r="C239" s="3" t="s">
        <v>25</v>
      </c>
      <c r="D239" s="3" t="s">
        <v>15</v>
      </c>
      <c r="E239" s="3" t="s">
        <v>61</v>
      </c>
      <c r="F239" s="3">
        <v>916000.0</v>
      </c>
      <c r="G239" s="3">
        <v>870200.0</v>
      </c>
      <c r="H239" s="3" t="str">
        <f t="shared" si="1"/>
        <v>Normal</v>
      </c>
      <c r="I239" s="3" t="str">
        <f t="shared" si="2"/>
        <v>Issued</v>
      </c>
    </row>
    <row r="240">
      <c r="A240" s="3" t="s">
        <v>276</v>
      </c>
      <c r="B240" s="4">
        <v>46365.0</v>
      </c>
      <c r="C240" s="3" t="s">
        <v>23</v>
      </c>
      <c r="D240" s="3" t="s">
        <v>15</v>
      </c>
      <c r="E240" s="3" t="s">
        <v>31</v>
      </c>
      <c r="F240" s="3">
        <v>909000.0</v>
      </c>
      <c r="G240" s="3">
        <v>1045349.9999999999</v>
      </c>
      <c r="H240" s="3" t="str">
        <f t="shared" si="1"/>
        <v>Normal</v>
      </c>
      <c r="I240" s="3" t="str">
        <f t="shared" si="2"/>
        <v>Issued</v>
      </c>
    </row>
    <row r="241">
      <c r="A241" s="3" t="s">
        <v>277</v>
      </c>
      <c r="B241" s="4">
        <v>46243.0</v>
      </c>
      <c r="C241" s="3" t="s">
        <v>25</v>
      </c>
      <c r="D241" s="3" t="s">
        <v>15</v>
      </c>
      <c r="E241" s="3" t="s">
        <v>42</v>
      </c>
      <c r="F241" s="3">
        <v>1342000.0</v>
      </c>
      <c r="G241" s="3">
        <v>3355000.0</v>
      </c>
      <c r="H241" s="3" t="str">
        <f t="shared" si="1"/>
        <v>Over Buffer</v>
      </c>
      <c r="I241" s="3" t="str">
        <f t="shared" si="2"/>
        <v>Refund</v>
      </c>
    </row>
    <row r="242">
      <c r="A242" s="3" t="s">
        <v>278</v>
      </c>
      <c r="B242" s="4">
        <v>46184.0</v>
      </c>
      <c r="C242" s="3" t="s">
        <v>10</v>
      </c>
      <c r="D242" s="3" t="s">
        <v>11</v>
      </c>
      <c r="E242" s="3" t="s">
        <v>35</v>
      </c>
      <c r="F242" s="3">
        <v>9506000.0</v>
      </c>
      <c r="G242" s="3">
        <v>9030700.0</v>
      </c>
      <c r="H242" s="3" t="str">
        <f t="shared" si="1"/>
        <v>Fare Increase</v>
      </c>
      <c r="I242" s="3" t="str">
        <f t="shared" si="2"/>
        <v>Issued</v>
      </c>
    </row>
    <row r="243">
      <c r="A243" s="3" t="s">
        <v>279</v>
      </c>
      <c r="B243" s="4">
        <v>46225.0</v>
      </c>
      <c r="C243" s="3" t="s">
        <v>10</v>
      </c>
      <c r="D243" s="3" t="s">
        <v>11</v>
      </c>
      <c r="E243" s="3" t="s">
        <v>21</v>
      </c>
      <c r="F243" s="3">
        <v>1247000.0</v>
      </c>
      <c r="G243" s="3">
        <v>1434050.0</v>
      </c>
      <c r="H243" s="3" t="str">
        <f t="shared" si="1"/>
        <v>Fare Increase</v>
      </c>
      <c r="I243" s="3" t="str">
        <f t="shared" si="2"/>
        <v>Issued</v>
      </c>
    </row>
    <row r="244">
      <c r="A244" s="3" t="s">
        <v>280</v>
      </c>
      <c r="B244" s="4">
        <v>46375.0</v>
      </c>
      <c r="C244" s="3" t="s">
        <v>25</v>
      </c>
      <c r="D244" s="3" t="s">
        <v>15</v>
      </c>
      <c r="E244" s="3" t="s">
        <v>116</v>
      </c>
      <c r="F244" s="3">
        <v>603000.0</v>
      </c>
      <c r="G244" s="3">
        <v>844200.0</v>
      </c>
      <c r="H244" s="3" t="str">
        <f t="shared" si="1"/>
        <v>Normal</v>
      </c>
      <c r="I244" s="3" t="str">
        <f t="shared" si="2"/>
        <v>Issued</v>
      </c>
    </row>
    <row r="245">
      <c r="A245" s="3" t="s">
        <v>281</v>
      </c>
      <c r="B245" s="4">
        <v>46094.0</v>
      </c>
      <c r="C245" s="3" t="s">
        <v>14</v>
      </c>
      <c r="D245" s="3" t="s">
        <v>15</v>
      </c>
      <c r="E245" s="3" t="s">
        <v>63</v>
      </c>
      <c r="F245" s="3">
        <v>1057000.0</v>
      </c>
      <c r="G245" s="3">
        <v>1479800.0</v>
      </c>
      <c r="H245" s="3" t="str">
        <f t="shared" si="1"/>
        <v>Fare Increase</v>
      </c>
      <c r="I245" s="3" t="str">
        <f t="shared" si="2"/>
        <v>Issued</v>
      </c>
    </row>
    <row r="246">
      <c r="A246" s="3" t="s">
        <v>282</v>
      </c>
      <c r="B246" s="4">
        <v>46354.0</v>
      </c>
      <c r="C246" s="3" t="s">
        <v>30</v>
      </c>
      <c r="D246" s="3" t="s">
        <v>15</v>
      </c>
      <c r="E246" s="3" t="s">
        <v>136</v>
      </c>
      <c r="F246" s="3">
        <v>1.2549E7</v>
      </c>
      <c r="G246" s="3">
        <v>1.4431349999999998E7</v>
      </c>
      <c r="H246" s="3" t="str">
        <f t="shared" si="1"/>
        <v>Fare Increase</v>
      </c>
      <c r="I246" s="3" t="str">
        <f t="shared" si="2"/>
        <v>Issued</v>
      </c>
    </row>
    <row r="247">
      <c r="A247" s="3" t="s">
        <v>283</v>
      </c>
      <c r="B247" s="4">
        <v>46101.0</v>
      </c>
      <c r="C247" s="3" t="s">
        <v>14</v>
      </c>
      <c r="D247" s="3" t="s">
        <v>15</v>
      </c>
      <c r="E247" s="3" t="s">
        <v>63</v>
      </c>
      <c r="F247" s="3">
        <v>614000.0</v>
      </c>
      <c r="G247" s="3">
        <v>859600.0</v>
      </c>
      <c r="H247" s="3" t="str">
        <f t="shared" si="1"/>
        <v>Normal</v>
      </c>
      <c r="I247" s="3" t="str">
        <f t="shared" si="2"/>
        <v>Issued</v>
      </c>
    </row>
    <row r="248">
      <c r="A248" s="3" t="s">
        <v>284</v>
      </c>
      <c r="B248" s="4">
        <v>46072.0</v>
      </c>
      <c r="C248" s="3" t="s">
        <v>10</v>
      </c>
      <c r="D248" s="3" t="s">
        <v>11</v>
      </c>
      <c r="E248" s="3" t="s">
        <v>35</v>
      </c>
      <c r="F248" s="3">
        <v>1675000.0</v>
      </c>
      <c r="G248" s="3">
        <v>1591250.0</v>
      </c>
      <c r="H248" s="3" t="str">
        <f t="shared" si="1"/>
        <v>Normal</v>
      </c>
      <c r="I248" s="3" t="str">
        <f t="shared" si="2"/>
        <v>Issued</v>
      </c>
    </row>
    <row r="249">
      <c r="A249" s="3" t="s">
        <v>285</v>
      </c>
      <c r="B249" s="4">
        <v>46135.0</v>
      </c>
      <c r="C249" s="3" t="s">
        <v>14</v>
      </c>
      <c r="D249" s="3" t="s">
        <v>15</v>
      </c>
      <c r="E249" s="3" t="s">
        <v>63</v>
      </c>
      <c r="F249" s="3">
        <v>833000.0</v>
      </c>
      <c r="G249" s="3">
        <v>791350.0</v>
      </c>
      <c r="H249" s="3" t="str">
        <f t="shared" si="1"/>
        <v>Normal</v>
      </c>
      <c r="I249" s="3" t="str">
        <f t="shared" si="2"/>
        <v>Issued</v>
      </c>
    </row>
    <row r="250">
      <c r="A250" s="3" t="s">
        <v>286</v>
      </c>
      <c r="B250" s="4">
        <v>46279.0</v>
      </c>
      <c r="C250" s="3" t="s">
        <v>30</v>
      </c>
      <c r="D250" s="3" t="s">
        <v>15</v>
      </c>
      <c r="E250" s="3" t="s">
        <v>26</v>
      </c>
      <c r="F250" s="3">
        <v>1642000.0</v>
      </c>
      <c r="G250" s="3">
        <v>1559900.0</v>
      </c>
      <c r="H250" s="3" t="str">
        <f t="shared" si="1"/>
        <v>Normal</v>
      </c>
      <c r="I250" s="3" t="str">
        <f t="shared" si="2"/>
        <v>Issued</v>
      </c>
    </row>
    <row r="251">
      <c r="A251" s="3" t="s">
        <v>287</v>
      </c>
      <c r="B251" s="4">
        <v>46096.0</v>
      </c>
      <c r="C251" s="3" t="s">
        <v>14</v>
      </c>
      <c r="D251" s="3" t="s">
        <v>15</v>
      </c>
      <c r="E251" s="3" t="s">
        <v>37</v>
      </c>
      <c r="F251" s="3">
        <v>1573000.0</v>
      </c>
      <c r="G251" s="3">
        <v>1808949.9999999998</v>
      </c>
      <c r="H251" s="3" t="str">
        <f t="shared" si="1"/>
        <v>Over Buffer</v>
      </c>
      <c r="I251" s="3" t="str">
        <f t="shared" si="2"/>
        <v>Refund</v>
      </c>
    </row>
    <row r="252">
      <c r="A252" s="3" t="s">
        <v>288</v>
      </c>
      <c r="B252" s="4">
        <v>46026.0</v>
      </c>
      <c r="C252" s="3" t="s">
        <v>10</v>
      </c>
      <c r="D252" s="3" t="s">
        <v>11</v>
      </c>
      <c r="E252" s="3" t="s">
        <v>19</v>
      </c>
      <c r="F252" s="3">
        <v>6517000.0</v>
      </c>
      <c r="G252" s="3">
        <v>7494549.999999999</v>
      </c>
      <c r="H252" s="3" t="str">
        <f t="shared" si="1"/>
        <v>Fare Increase</v>
      </c>
      <c r="I252" s="3" t="str">
        <f t="shared" si="2"/>
        <v>Issued</v>
      </c>
    </row>
    <row r="253">
      <c r="A253" s="3" t="s">
        <v>289</v>
      </c>
      <c r="B253" s="4">
        <v>46146.0</v>
      </c>
      <c r="C253" s="3" t="s">
        <v>25</v>
      </c>
      <c r="D253" s="3" t="s">
        <v>15</v>
      </c>
      <c r="E253" s="3" t="s">
        <v>61</v>
      </c>
      <c r="F253" s="3">
        <v>818000.0</v>
      </c>
      <c r="G253" s="3">
        <v>2045000.0</v>
      </c>
      <c r="H253" s="3" t="str">
        <f t="shared" si="1"/>
        <v>Normal</v>
      </c>
      <c r="I253" s="3" t="str">
        <f t="shared" si="2"/>
        <v>Issued</v>
      </c>
    </row>
    <row r="254">
      <c r="A254" s="3" t="s">
        <v>290</v>
      </c>
      <c r="B254" s="4">
        <v>46138.0</v>
      </c>
      <c r="C254" s="3" t="s">
        <v>14</v>
      </c>
      <c r="D254" s="3" t="s">
        <v>15</v>
      </c>
      <c r="E254" s="3" t="s">
        <v>16</v>
      </c>
      <c r="F254" s="3">
        <v>1.2848E7</v>
      </c>
      <c r="G254" s="3">
        <v>1.79872E7</v>
      </c>
      <c r="H254" s="3" t="str">
        <f t="shared" si="1"/>
        <v>Fare Increase</v>
      </c>
      <c r="I254" s="3" t="str">
        <f t="shared" si="2"/>
        <v>Issued</v>
      </c>
    </row>
    <row r="255">
      <c r="A255" s="3" t="s">
        <v>291</v>
      </c>
      <c r="B255" s="4">
        <v>46289.0</v>
      </c>
      <c r="C255" s="3" t="s">
        <v>23</v>
      </c>
      <c r="D255" s="3" t="s">
        <v>15</v>
      </c>
      <c r="E255" s="3" t="s">
        <v>19</v>
      </c>
      <c r="F255" s="3">
        <v>1070000.0</v>
      </c>
      <c r="G255" s="3">
        <v>1498000.0</v>
      </c>
      <c r="H255" s="3" t="str">
        <f t="shared" si="1"/>
        <v>Normal</v>
      </c>
      <c r="I255" s="3" t="str">
        <f t="shared" si="2"/>
        <v>Issued</v>
      </c>
    </row>
    <row r="256">
      <c r="A256" s="3" t="s">
        <v>292</v>
      </c>
      <c r="B256" s="4">
        <v>46087.0</v>
      </c>
      <c r="C256" s="3" t="s">
        <v>25</v>
      </c>
      <c r="D256" s="3" t="s">
        <v>15</v>
      </c>
      <c r="E256" s="3" t="s">
        <v>26</v>
      </c>
      <c r="F256" s="3">
        <v>9776000.0</v>
      </c>
      <c r="G256" s="3">
        <v>9287200.0</v>
      </c>
      <c r="H256" s="3" t="str">
        <f t="shared" si="1"/>
        <v>Normal</v>
      </c>
      <c r="I256" s="3" t="str">
        <f t="shared" si="2"/>
        <v>Issued</v>
      </c>
    </row>
    <row r="257">
      <c r="A257" s="3" t="s">
        <v>293</v>
      </c>
      <c r="B257" s="4">
        <v>46030.0</v>
      </c>
      <c r="C257" s="3" t="s">
        <v>10</v>
      </c>
      <c r="D257" s="3" t="s">
        <v>11</v>
      </c>
      <c r="E257" s="3" t="s">
        <v>21</v>
      </c>
      <c r="F257" s="3">
        <v>1328000.0</v>
      </c>
      <c r="G257" s="3">
        <v>1261600.0</v>
      </c>
      <c r="H257" s="3" t="str">
        <f t="shared" si="1"/>
        <v>Fare Increase</v>
      </c>
      <c r="I257" s="3" t="str">
        <f t="shared" si="2"/>
        <v>Issued</v>
      </c>
    </row>
    <row r="258">
      <c r="A258" s="3" t="s">
        <v>294</v>
      </c>
      <c r="B258" s="4">
        <v>46252.0</v>
      </c>
      <c r="C258" s="3" t="s">
        <v>23</v>
      </c>
      <c r="D258" s="3" t="s">
        <v>15</v>
      </c>
      <c r="E258" s="3" t="s">
        <v>33</v>
      </c>
      <c r="F258" s="3">
        <v>636000.0</v>
      </c>
      <c r="G258" s="3">
        <v>890400.0</v>
      </c>
      <c r="H258" s="3" t="str">
        <f t="shared" si="1"/>
        <v>Fare Increase</v>
      </c>
      <c r="I258" s="3" t="str">
        <f t="shared" si="2"/>
        <v>Issued</v>
      </c>
    </row>
    <row r="259">
      <c r="A259" s="3" t="s">
        <v>295</v>
      </c>
      <c r="B259" s="4">
        <v>46041.0</v>
      </c>
      <c r="C259" s="3" t="s">
        <v>25</v>
      </c>
      <c r="D259" s="3" t="s">
        <v>15</v>
      </c>
      <c r="E259" s="3" t="s">
        <v>42</v>
      </c>
      <c r="F259" s="3">
        <v>1.298E7</v>
      </c>
      <c r="G259" s="3">
        <v>1.2331E7</v>
      </c>
      <c r="H259" s="3" t="str">
        <f t="shared" si="1"/>
        <v>Fare Increase</v>
      </c>
      <c r="I259" s="3" t="str">
        <f t="shared" si="2"/>
        <v>Issued</v>
      </c>
    </row>
    <row r="260">
      <c r="A260" s="3" t="s">
        <v>296</v>
      </c>
      <c r="B260" s="4">
        <v>46125.0</v>
      </c>
      <c r="C260" s="3" t="s">
        <v>14</v>
      </c>
      <c r="D260" s="3" t="s">
        <v>15</v>
      </c>
      <c r="E260" s="3" t="s">
        <v>37</v>
      </c>
      <c r="F260" s="3">
        <v>555000.0</v>
      </c>
      <c r="G260" s="3">
        <v>527250.0</v>
      </c>
      <c r="H260" s="3" t="str">
        <f t="shared" si="1"/>
        <v>Over Buffer</v>
      </c>
      <c r="I260" s="3" t="str">
        <f t="shared" si="2"/>
        <v>Refund</v>
      </c>
    </row>
    <row r="261">
      <c r="A261" s="3" t="s">
        <v>297</v>
      </c>
      <c r="B261" s="4">
        <v>46151.0</v>
      </c>
      <c r="C261" s="3" t="s">
        <v>14</v>
      </c>
      <c r="D261" s="3" t="s">
        <v>15</v>
      </c>
      <c r="E261" s="3" t="s">
        <v>37</v>
      </c>
      <c r="F261" s="3">
        <v>1488000.0</v>
      </c>
      <c r="G261" s="3">
        <v>1711199.9999999998</v>
      </c>
      <c r="H261" s="3" t="str">
        <f t="shared" si="1"/>
        <v>Normal</v>
      </c>
      <c r="I261" s="3" t="str">
        <f t="shared" si="2"/>
        <v>Issued</v>
      </c>
    </row>
    <row r="262">
      <c r="A262" s="3" t="s">
        <v>298</v>
      </c>
      <c r="B262" s="4">
        <v>46074.0</v>
      </c>
      <c r="C262" s="3" t="s">
        <v>25</v>
      </c>
      <c r="D262" s="3" t="s">
        <v>15</v>
      </c>
      <c r="E262" s="3" t="s">
        <v>61</v>
      </c>
      <c r="F262" s="3">
        <v>4518000.0</v>
      </c>
      <c r="G262" s="3">
        <v>6325200.0</v>
      </c>
      <c r="H262" s="3" t="str">
        <f t="shared" si="1"/>
        <v>Fare Increase</v>
      </c>
      <c r="I262" s="3" t="str">
        <f t="shared" si="2"/>
        <v>Issued</v>
      </c>
    </row>
    <row r="263">
      <c r="A263" s="3" t="s">
        <v>299</v>
      </c>
      <c r="B263" s="4">
        <v>46164.0</v>
      </c>
      <c r="C263" s="3" t="s">
        <v>25</v>
      </c>
      <c r="D263" s="3" t="s">
        <v>15</v>
      </c>
      <c r="E263" s="3" t="s">
        <v>26</v>
      </c>
      <c r="F263" s="3">
        <v>1.3357E7</v>
      </c>
      <c r="G263" s="3">
        <v>3.33925E7</v>
      </c>
      <c r="H263" s="3" t="str">
        <f t="shared" si="1"/>
        <v>Normal</v>
      </c>
      <c r="I263" s="3" t="str">
        <f t="shared" si="2"/>
        <v>Issued</v>
      </c>
    </row>
    <row r="264">
      <c r="A264" s="3" t="s">
        <v>300</v>
      </c>
      <c r="B264" s="4">
        <v>46135.0</v>
      </c>
      <c r="C264" s="3" t="s">
        <v>25</v>
      </c>
      <c r="D264" s="3" t="s">
        <v>15</v>
      </c>
      <c r="E264" s="3" t="s">
        <v>61</v>
      </c>
      <c r="F264" s="3">
        <v>1160000.0</v>
      </c>
      <c r="G264" s="3">
        <v>1624000.0</v>
      </c>
      <c r="H264" s="3" t="str">
        <f t="shared" si="1"/>
        <v>Fare Increase</v>
      </c>
      <c r="I264" s="3" t="str">
        <f t="shared" si="2"/>
        <v>Issued</v>
      </c>
    </row>
    <row r="265">
      <c r="A265" s="3" t="s">
        <v>301</v>
      </c>
      <c r="B265" s="4">
        <v>46198.0</v>
      </c>
      <c r="C265" s="3" t="s">
        <v>23</v>
      </c>
      <c r="D265" s="3" t="s">
        <v>15</v>
      </c>
      <c r="E265" s="3" t="s">
        <v>19</v>
      </c>
      <c r="F265" s="3">
        <v>6940000.0</v>
      </c>
      <c r="G265" s="3">
        <v>6593000.0</v>
      </c>
      <c r="H265" s="3" t="str">
        <f t="shared" si="1"/>
        <v>Fare Increase</v>
      </c>
      <c r="I265" s="3" t="str">
        <f t="shared" si="2"/>
        <v>Issued</v>
      </c>
    </row>
    <row r="266">
      <c r="A266" s="3" t="s">
        <v>302</v>
      </c>
      <c r="B266" s="4">
        <v>46076.0</v>
      </c>
      <c r="C266" s="3" t="s">
        <v>25</v>
      </c>
      <c r="D266" s="3" t="s">
        <v>15</v>
      </c>
      <c r="E266" s="3" t="s">
        <v>116</v>
      </c>
      <c r="F266" s="3">
        <v>2185000.0</v>
      </c>
      <c r="G266" s="3">
        <v>2075750.0</v>
      </c>
      <c r="H266" s="3" t="str">
        <f t="shared" si="1"/>
        <v>Fare Increase</v>
      </c>
      <c r="I266" s="3" t="str">
        <f t="shared" si="2"/>
        <v>Issued</v>
      </c>
    </row>
    <row r="267">
      <c r="A267" s="3" t="s">
        <v>303</v>
      </c>
      <c r="B267" s="4">
        <v>46336.0</v>
      </c>
      <c r="C267" s="3" t="s">
        <v>14</v>
      </c>
      <c r="D267" s="3" t="s">
        <v>15</v>
      </c>
      <c r="E267" s="3" t="s">
        <v>16</v>
      </c>
      <c r="F267" s="3">
        <v>1527000.0</v>
      </c>
      <c r="G267" s="3">
        <v>3817500.0</v>
      </c>
      <c r="H267" s="3" t="str">
        <f t="shared" si="1"/>
        <v>Normal</v>
      </c>
      <c r="I267" s="3" t="str">
        <f t="shared" si="2"/>
        <v>Issued</v>
      </c>
    </row>
    <row r="268">
      <c r="A268" s="3" t="s">
        <v>304</v>
      </c>
      <c r="B268" s="4">
        <v>46332.0</v>
      </c>
      <c r="C268" s="3" t="s">
        <v>18</v>
      </c>
      <c r="D268" s="3" t="s">
        <v>11</v>
      </c>
      <c r="E268" s="3" t="s">
        <v>21</v>
      </c>
      <c r="F268" s="3">
        <v>1244000.0</v>
      </c>
      <c r="G268" s="3">
        <v>1430600.0</v>
      </c>
      <c r="H268" s="3" t="str">
        <f t="shared" si="1"/>
        <v>Fare Increase</v>
      </c>
      <c r="I268" s="3" t="str">
        <f t="shared" si="2"/>
        <v>Issued</v>
      </c>
    </row>
    <row r="269">
      <c r="A269" s="3" t="s">
        <v>305</v>
      </c>
      <c r="B269" s="4">
        <v>46253.0</v>
      </c>
      <c r="C269" s="3" t="s">
        <v>23</v>
      </c>
      <c r="D269" s="3" t="s">
        <v>15</v>
      </c>
      <c r="E269" s="3" t="s">
        <v>33</v>
      </c>
      <c r="F269" s="3">
        <v>6488000.0</v>
      </c>
      <c r="G269" s="3">
        <v>9083200.0</v>
      </c>
      <c r="H269" s="3" t="str">
        <f t="shared" si="1"/>
        <v>Normal</v>
      </c>
      <c r="I269" s="3" t="str">
        <f t="shared" si="2"/>
        <v>Issued</v>
      </c>
    </row>
    <row r="270">
      <c r="A270" s="3" t="s">
        <v>306</v>
      </c>
      <c r="B270" s="4">
        <v>46078.0</v>
      </c>
      <c r="C270" s="3" t="s">
        <v>30</v>
      </c>
      <c r="D270" s="3" t="s">
        <v>15</v>
      </c>
      <c r="E270" s="3" t="s">
        <v>12</v>
      </c>
      <c r="F270" s="3">
        <v>513000.0</v>
      </c>
      <c r="G270" s="3">
        <v>487350.0</v>
      </c>
      <c r="H270" s="3" t="str">
        <f t="shared" si="1"/>
        <v>Fare Increase</v>
      </c>
      <c r="I270" s="3" t="str">
        <f t="shared" si="2"/>
        <v>Issued</v>
      </c>
    </row>
    <row r="271">
      <c r="A271" s="3" t="s">
        <v>307</v>
      </c>
      <c r="B271" s="4">
        <v>46297.0</v>
      </c>
      <c r="C271" s="3" t="s">
        <v>30</v>
      </c>
      <c r="D271" s="3" t="s">
        <v>15</v>
      </c>
      <c r="E271" s="3" t="s">
        <v>37</v>
      </c>
      <c r="F271" s="3">
        <v>610000.0</v>
      </c>
      <c r="G271" s="3">
        <v>854000.0</v>
      </c>
      <c r="H271" s="3" t="str">
        <f t="shared" si="1"/>
        <v>Fare Increase</v>
      </c>
      <c r="I271" s="3" t="str">
        <f t="shared" si="2"/>
        <v>Issued</v>
      </c>
    </row>
    <row r="272">
      <c r="A272" s="3" t="s">
        <v>308</v>
      </c>
      <c r="B272" s="4">
        <v>46380.0</v>
      </c>
      <c r="C272" s="3" t="s">
        <v>18</v>
      </c>
      <c r="D272" s="3" t="s">
        <v>11</v>
      </c>
      <c r="E272" s="3" t="s">
        <v>12</v>
      </c>
      <c r="F272" s="3">
        <v>1.444E7</v>
      </c>
      <c r="G272" s="3">
        <v>1.6605999999999998E7</v>
      </c>
      <c r="H272" s="3" t="str">
        <f t="shared" si="1"/>
        <v>Normal</v>
      </c>
      <c r="I272" s="3" t="str">
        <f t="shared" si="2"/>
        <v>Issued</v>
      </c>
    </row>
    <row r="273">
      <c r="A273" s="3" t="s">
        <v>309</v>
      </c>
      <c r="B273" s="4">
        <v>46315.0</v>
      </c>
      <c r="C273" s="3" t="s">
        <v>30</v>
      </c>
      <c r="D273" s="3" t="s">
        <v>15</v>
      </c>
      <c r="E273" s="3" t="s">
        <v>42</v>
      </c>
      <c r="F273" s="3">
        <v>2520000.0</v>
      </c>
      <c r="G273" s="3">
        <v>2394000.0</v>
      </c>
      <c r="H273" s="3" t="str">
        <f t="shared" si="1"/>
        <v>Fare Increase</v>
      </c>
      <c r="I273" s="3" t="str">
        <f t="shared" si="2"/>
        <v>Issued</v>
      </c>
    </row>
    <row r="274">
      <c r="A274" s="3" t="s">
        <v>310</v>
      </c>
      <c r="B274" s="4">
        <v>46305.0</v>
      </c>
      <c r="C274" s="3" t="s">
        <v>14</v>
      </c>
      <c r="D274" s="3" t="s">
        <v>15</v>
      </c>
      <c r="E274" s="3" t="s">
        <v>16</v>
      </c>
      <c r="F274" s="3">
        <v>585000.0</v>
      </c>
      <c r="G274" s="3">
        <v>555750.0</v>
      </c>
      <c r="H274" s="3" t="str">
        <f t="shared" si="1"/>
        <v>Fare Increase</v>
      </c>
      <c r="I274" s="3" t="str">
        <f t="shared" si="2"/>
        <v>Issued</v>
      </c>
    </row>
    <row r="275">
      <c r="A275" s="3" t="s">
        <v>311</v>
      </c>
      <c r="B275" s="4">
        <v>46129.0</v>
      </c>
      <c r="C275" s="3" t="s">
        <v>25</v>
      </c>
      <c r="D275" s="3" t="s">
        <v>15</v>
      </c>
      <c r="E275" s="3" t="s">
        <v>26</v>
      </c>
      <c r="F275" s="3">
        <v>789000.0</v>
      </c>
      <c r="G275" s="3">
        <v>749550.0</v>
      </c>
      <c r="H275" s="3" t="str">
        <f t="shared" si="1"/>
        <v>Over Buffer</v>
      </c>
      <c r="I275" s="3" t="str">
        <f t="shared" si="2"/>
        <v>Refund</v>
      </c>
    </row>
    <row r="276">
      <c r="A276" s="3" t="s">
        <v>312</v>
      </c>
      <c r="B276" s="4">
        <v>46342.0</v>
      </c>
      <c r="C276" s="3" t="s">
        <v>25</v>
      </c>
      <c r="D276" s="3" t="s">
        <v>15</v>
      </c>
      <c r="E276" s="3" t="s">
        <v>61</v>
      </c>
      <c r="F276" s="3">
        <v>1745000.0</v>
      </c>
      <c r="G276" s="3">
        <v>1657750.0</v>
      </c>
      <c r="H276" s="3" t="str">
        <f t="shared" si="1"/>
        <v>Fare Increase</v>
      </c>
      <c r="I276" s="3" t="str">
        <f t="shared" si="2"/>
        <v>Issued</v>
      </c>
    </row>
    <row r="277">
      <c r="A277" s="3" t="s">
        <v>313</v>
      </c>
      <c r="B277" s="4">
        <v>46166.0</v>
      </c>
      <c r="C277" s="3" t="s">
        <v>25</v>
      </c>
      <c r="D277" s="3" t="s">
        <v>15</v>
      </c>
      <c r="E277" s="3" t="s">
        <v>42</v>
      </c>
      <c r="F277" s="3">
        <v>1312000.0</v>
      </c>
      <c r="G277" s="3">
        <v>3280000.0</v>
      </c>
      <c r="H277" s="3" t="str">
        <f t="shared" si="1"/>
        <v>Fare Increase</v>
      </c>
      <c r="I277" s="3" t="str">
        <f t="shared" si="2"/>
        <v>Issued</v>
      </c>
    </row>
    <row r="278">
      <c r="A278" s="3" t="s">
        <v>314</v>
      </c>
      <c r="B278" s="4">
        <v>46055.0</v>
      </c>
      <c r="C278" s="3" t="s">
        <v>10</v>
      </c>
      <c r="D278" s="3" t="s">
        <v>11</v>
      </c>
      <c r="E278" s="3" t="s">
        <v>12</v>
      </c>
      <c r="F278" s="3">
        <v>1511000.0</v>
      </c>
      <c r="G278" s="3">
        <v>1737649.9999999998</v>
      </c>
      <c r="H278" s="3" t="str">
        <f t="shared" si="1"/>
        <v>Normal</v>
      </c>
      <c r="I278" s="3" t="str">
        <f t="shared" si="2"/>
        <v>Issued</v>
      </c>
    </row>
    <row r="279">
      <c r="A279" s="3" t="s">
        <v>315</v>
      </c>
      <c r="B279" s="4">
        <v>46188.0</v>
      </c>
      <c r="C279" s="3" t="s">
        <v>23</v>
      </c>
      <c r="D279" s="3" t="s">
        <v>15</v>
      </c>
      <c r="E279" s="3" t="s">
        <v>19</v>
      </c>
      <c r="F279" s="3">
        <v>5498000.0</v>
      </c>
      <c r="G279" s="3">
        <v>5223100.0</v>
      </c>
      <c r="H279" s="3" t="str">
        <f t="shared" si="1"/>
        <v>Over Buffer</v>
      </c>
      <c r="I279" s="3" t="str">
        <f t="shared" si="2"/>
        <v>Refund</v>
      </c>
    </row>
    <row r="280">
      <c r="A280" s="3" t="s">
        <v>316</v>
      </c>
      <c r="B280" s="4">
        <v>46272.0</v>
      </c>
      <c r="C280" s="3" t="s">
        <v>18</v>
      </c>
      <c r="D280" s="3" t="s">
        <v>11</v>
      </c>
      <c r="E280" s="3" t="s">
        <v>12</v>
      </c>
      <c r="F280" s="3">
        <v>548000.0</v>
      </c>
      <c r="G280" s="3">
        <v>630200.0</v>
      </c>
      <c r="H280" s="3" t="str">
        <f t="shared" si="1"/>
        <v>Fare Increase</v>
      </c>
      <c r="I280" s="3" t="str">
        <f t="shared" si="2"/>
        <v>Issued</v>
      </c>
    </row>
    <row r="281">
      <c r="A281" s="3" t="s">
        <v>317</v>
      </c>
      <c r="B281" s="4">
        <v>46157.0</v>
      </c>
      <c r="C281" s="3" t="s">
        <v>25</v>
      </c>
      <c r="D281" s="3" t="s">
        <v>15</v>
      </c>
      <c r="E281" s="3" t="s">
        <v>116</v>
      </c>
      <c r="F281" s="3">
        <v>1.0106E7</v>
      </c>
      <c r="G281" s="3">
        <v>9600700.0</v>
      </c>
      <c r="H281" s="3" t="str">
        <f t="shared" si="1"/>
        <v>Normal</v>
      </c>
      <c r="I281" s="3" t="str">
        <f t="shared" si="2"/>
        <v>Issued</v>
      </c>
    </row>
    <row r="282">
      <c r="A282" s="3" t="s">
        <v>318</v>
      </c>
      <c r="B282" s="4">
        <v>46080.0</v>
      </c>
      <c r="C282" s="3" t="s">
        <v>18</v>
      </c>
      <c r="D282" s="3" t="s">
        <v>11</v>
      </c>
      <c r="E282" s="3" t="s">
        <v>35</v>
      </c>
      <c r="F282" s="3">
        <v>915000.0</v>
      </c>
      <c r="G282" s="3">
        <v>869250.0</v>
      </c>
      <c r="H282" s="3" t="str">
        <f t="shared" si="1"/>
        <v>Normal</v>
      </c>
      <c r="I282" s="3" t="str">
        <f t="shared" si="2"/>
        <v>Issued</v>
      </c>
    </row>
    <row r="283">
      <c r="A283" s="3" t="s">
        <v>319</v>
      </c>
      <c r="B283" s="4">
        <v>46370.0</v>
      </c>
      <c r="C283" s="3" t="s">
        <v>30</v>
      </c>
      <c r="D283" s="3" t="s">
        <v>15</v>
      </c>
      <c r="E283" s="3" t="s">
        <v>26</v>
      </c>
      <c r="F283" s="3">
        <v>904000.0</v>
      </c>
      <c r="G283" s="3">
        <v>1265600.0</v>
      </c>
      <c r="H283" s="3" t="str">
        <f t="shared" si="1"/>
        <v>Normal</v>
      </c>
      <c r="I283" s="3" t="str">
        <f t="shared" si="2"/>
        <v>Issued</v>
      </c>
    </row>
    <row r="284">
      <c r="A284" s="3" t="s">
        <v>320</v>
      </c>
      <c r="B284" s="4">
        <v>46297.0</v>
      </c>
      <c r="C284" s="3" t="s">
        <v>14</v>
      </c>
      <c r="D284" s="3" t="s">
        <v>15</v>
      </c>
      <c r="E284" s="3" t="s">
        <v>16</v>
      </c>
      <c r="F284" s="3">
        <v>2422000.0</v>
      </c>
      <c r="G284" s="3">
        <v>2785300.0</v>
      </c>
      <c r="H284" s="3" t="str">
        <f t="shared" si="1"/>
        <v>Over Buffer</v>
      </c>
      <c r="I284" s="3" t="str">
        <f t="shared" si="2"/>
        <v>Refund</v>
      </c>
    </row>
    <row r="285">
      <c r="A285" s="3" t="s">
        <v>321</v>
      </c>
      <c r="B285" s="4">
        <v>46225.0</v>
      </c>
      <c r="C285" s="3" t="s">
        <v>10</v>
      </c>
      <c r="D285" s="3" t="s">
        <v>11</v>
      </c>
      <c r="E285" s="3" t="s">
        <v>12</v>
      </c>
      <c r="F285" s="3">
        <v>6860000.0</v>
      </c>
      <c r="G285" s="3">
        <v>7888999.999999999</v>
      </c>
      <c r="H285" s="3" t="str">
        <f t="shared" si="1"/>
        <v>Normal</v>
      </c>
      <c r="I285" s="3" t="str">
        <f t="shared" si="2"/>
        <v>Issued</v>
      </c>
    </row>
    <row r="286">
      <c r="A286" s="3" t="s">
        <v>322</v>
      </c>
      <c r="B286" s="4">
        <v>46378.0</v>
      </c>
      <c r="C286" s="3" t="s">
        <v>30</v>
      </c>
      <c r="D286" s="3" t="s">
        <v>15</v>
      </c>
      <c r="E286" s="3" t="s">
        <v>78</v>
      </c>
      <c r="F286" s="3">
        <v>1692000.0</v>
      </c>
      <c r="G286" s="3">
        <v>4230000.0</v>
      </c>
      <c r="H286" s="3" t="str">
        <f t="shared" si="1"/>
        <v>Over Buffer</v>
      </c>
      <c r="I286" s="3" t="str">
        <f t="shared" si="2"/>
        <v>Refund</v>
      </c>
    </row>
    <row r="287">
      <c r="A287" s="3" t="s">
        <v>323</v>
      </c>
      <c r="B287" s="4">
        <v>46176.0</v>
      </c>
      <c r="C287" s="3" t="s">
        <v>30</v>
      </c>
      <c r="D287" s="3" t="s">
        <v>15</v>
      </c>
      <c r="E287" s="3" t="s">
        <v>232</v>
      </c>
      <c r="F287" s="3">
        <v>1150000.0</v>
      </c>
      <c r="G287" s="3">
        <v>1092500.0</v>
      </c>
      <c r="H287" s="3" t="str">
        <f t="shared" si="1"/>
        <v>Fare Increase</v>
      </c>
      <c r="I287" s="3" t="str">
        <f t="shared" si="2"/>
        <v>Issued</v>
      </c>
    </row>
    <row r="288">
      <c r="A288" s="3" t="s">
        <v>324</v>
      </c>
      <c r="B288" s="4">
        <v>46168.0</v>
      </c>
      <c r="C288" s="3" t="s">
        <v>18</v>
      </c>
      <c r="D288" s="3" t="s">
        <v>11</v>
      </c>
      <c r="E288" s="3" t="s">
        <v>63</v>
      </c>
      <c r="F288" s="3">
        <v>7995000.0</v>
      </c>
      <c r="G288" s="3">
        <v>1.1193E7</v>
      </c>
      <c r="H288" s="3" t="str">
        <f t="shared" si="1"/>
        <v>Normal</v>
      </c>
      <c r="I288" s="3" t="str">
        <f t="shared" si="2"/>
        <v>Issued</v>
      </c>
    </row>
    <row r="289">
      <c r="A289" s="3" t="s">
        <v>325</v>
      </c>
      <c r="B289" s="4">
        <v>46359.0</v>
      </c>
      <c r="C289" s="3" t="s">
        <v>18</v>
      </c>
      <c r="D289" s="3" t="s">
        <v>11</v>
      </c>
      <c r="E289" s="3" t="s">
        <v>63</v>
      </c>
      <c r="F289" s="3">
        <v>1715000.0</v>
      </c>
      <c r="G289" s="3">
        <v>1629250.0</v>
      </c>
      <c r="H289" s="3" t="str">
        <f t="shared" si="1"/>
        <v>Fare Increase</v>
      </c>
      <c r="I289" s="3" t="str">
        <f t="shared" si="2"/>
        <v>Issued</v>
      </c>
    </row>
    <row r="290">
      <c r="A290" s="3" t="s">
        <v>326</v>
      </c>
      <c r="B290" s="4">
        <v>46379.0</v>
      </c>
      <c r="C290" s="3" t="s">
        <v>23</v>
      </c>
      <c r="D290" s="3" t="s">
        <v>15</v>
      </c>
      <c r="E290" s="3" t="s">
        <v>19</v>
      </c>
      <c r="F290" s="3">
        <v>3486000.0</v>
      </c>
      <c r="G290" s="3">
        <v>4008899.9999999995</v>
      </c>
      <c r="H290" s="3" t="str">
        <f t="shared" si="1"/>
        <v>Over Buffer</v>
      </c>
      <c r="I290" s="3" t="str">
        <f t="shared" si="2"/>
        <v>Refund</v>
      </c>
    </row>
    <row r="291">
      <c r="A291" s="3" t="s">
        <v>327</v>
      </c>
      <c r="B291" s="4">
        <v>46236.0</v>
      </c>
      <c r="C291" s="3" t="s">
        <v>10</v>
      </c>
      <c r="D291" s="3" t="s">
        <v>11</v>
      </c>
      <c r="E291" s="3" t="s">
        <v>19</v>
      </c>
      <c r="F291" s="3">
        <v>1722000.0</v>
      </c>
      <c r="G291" s="3">
        <v>1980299.9999999998</v>
      </c>
      <c r="H291" s="3" t="str">
        <f t="shared" si="1"/>
        <v>Normal</v>
      </c>
      <c r="I291" s="3" t="str">
        <f t="shared" si="2"/>
        <v>Issued</v>
      </c>
    </row>
    <row r="292">
      <c r="A292" s="3" t="s">
        <v>328</v>
      </c>
      <c r="B292" s="4">
        <v>46186.0</v>
      </c>
      <c r="C292" s="3" t="s">
        <v>10</v>
      </c>
      <c r="D292" s="3" t="s">
        <v>11</v>
      </c>
      <c r="E292" s="3" t="s">
        <v>63</v>
      </c>
      <c r="F292" s="3">
        <v>1226000.0</v>
      </c>
      <c r="G292" s="3">
        <v>1716400.0</v>
      </c>
      <c r="H292" s="3" t="str">
        <f t="shared" si="1"/>
        <v>Fare Increase</v>
      </c>
      <c r="I292" s="3" t="str">
        <f t="shared" si="2"/>
        <v>Issued</v>
      </c>
    </row>
    <row r="293">
      <c r="A293" s="3" t="s">
        <v>329</v>
      </c>
      <c r="B293" s="4">
        <v>46251.0</v>
      </c>
      <c r="C293" s="3" t="s">
        <v>30</v>
      </c>
      <c r="D293" s="3" t="s">
        <v>15</v>
      </c>
      <c r="E293" s="3" t="s">
        <v>78</v>
      </c>
      <c r="F293" s="3">
        <v>951000.0</v>
      </c>
      <c r="G293" s="3">
        <v>903450.0</v>
      </c>
      <c r="H293" s="3" t="str">
        <f t="shared" si="1"/>
        <v>Normal</v>
      </c>
      <c r="I293" s="3" t="str">
        <f t="shared" si="2"/>
        <v>Issued</v>
      </c>
    </row>
    <row r="294">
      <c r="A294" s="3" t="s">
        <v>330</v>
      </c>
      <c r="B294" s="4">
        <v>46288.0</v>
      </c>
      <c r="C294" s="3" t="s">
        <v>25</v>
      </c>
      <c r="D294" s="3" t="s">
        <v>15</v>
      </c>
      <c r="E294" s="3" t="s">
        <v>42</v>
      </c>
      <c r="F294" s="3">
        <v>1120000.0</v>
      </c>
      <c r="G294" s="3">
        <v>1568000.0</v>
      </c>
      <c r="H294" s="3" t="str">
        <f t="shared" si="1"/>
        <v>Fare Increase</v>
      </c>
      <c r="I294" s="3" t="str">
        <f t="shared" si="2"/>
        <v>Issued</v>
      </c>
    </row>
    <row r="295">
      <c r="A295" s="3" t="s">
        <v>331</v>
      </c>
      <c r="B295" s="4">
        <v>46352.0</v>
      </c>
      <c r="C295" s="3" t="s">
        <v>18</v>
      </c>
      <c r="D295" s="3" t="s">
        <v>11</v>
      </c>
      <c r="E295" s="3" t="s">
        <v>19</v>
      </c>
      <c r="F295" s="3">
        <v>1385000.0</v>
      </c>
      <c r="G295" s="3">
        <v>1315750.0</v>
      </c>
      <c r="H295" s="3" t="str">
        <f t="shared" si="1"/>
        <v>Over Buffer</v>
      </c>
      <c r="I295" s="3" t="str">
        <f t="shared" si="2"/>
        <v>Refund</v>
      </c>
    </row>
    <row r="296">
      <c r="A296" s="3" t="s">
        <v>332</v>
      </c>
      <c r="B296" s="4">
        <v>46316.0</v>
      </c>
      <c r="C296" s="3" t="s">
        <v>23</v>
      </c>
      <c r="D296" s="3" t="s">
        <v>15</v>
      </c>
      <c r="E296" s="3" t="s">
        <v>31</v>
      </c>
      <c r="F296" s="3">
        <v>930000.0</v>
      </c>
      <c r="G296" s="3">
        <v>1069500.0</v>
      </c>
      <c r="H296" s="3" t="str">
        <f t="shared" si="1"/>
        <v>Over Buffer</v>
      </c>
      <c r="I296" s="3" t="str">
        <f t="shared" si="2"/>
        <v>Refund</v>
      </c>
    </row>
    <row r="297">
      <c r="A297" s="3" t="s">
        <v>333</v>
      </c>
      <c r="B297" s="4">
        <v>46068.0</v>
      </c>
      <c r="C297" s="3" t="s">
        <v>25</v>
      </c>
      <c r="D297" s="3" t="s">
        <v>15</v>
      </c>
      <c r="E297" s="3" t="s">
        <v>42</v>
      </c>
      <c r="F297" s="3">
        <v>1248000.0</v>
      </c>
      <c r="G297" s="3">
        <v>1747200.0</v>
      </c>
      <c r="H297" s="3" t="str">
        <f t="shared" si="1"/>
        <v>Normal</v>
      </c>
      <c r="I297" s="3" t="str">
        <f t="shared" si="2"/>
        <v>Issued</v>
      </c>
    </row>
    <row r="298">
      <c r="A298" s="3" t="s">
        <v>334</v>
      </c>
      <c r="B298" s="4">
        <v>46305.0</v>
      </c>
      <c r="C298" s="3" t="s">
        <v>18</v>
      </c>
      <c r="D298" s="3" t="s">
        <v>11</v>
      </c>
      <c r="E298" s="3" t="s">
        <v>63</v>
      </c>
      <c r="F298" s="3">
        <v>1.0804E7</v>
      </c>
      <c r="G298" s="3">
        <v>1.02638E7</v>
      </c>
      <c r="H298" s="3" t="str">
        <f t="shared" si="1"/>
        <v>Fare Increase</v>
      </c>
      <c r="I298" s="3" t="str">
        <f t="shared" si="2"/>
        <v>Issued</v>
      </c>
    </row>
    <row r="299">
      <c r="A299" s="3" t="s">
        <v>335</v>
      </c>
      <c r="B299" s="4">
        <v>46360.0</v>
      </c>
      <c r="C299" s="3" t="s">
        <v>18</v>
      </c>
      <c r="D299" s="3" t="s">
        <v>11</v>
      </c>
      <c r="E299" s="3" t="s">
        <v>19</v>
      </c>
      <c r="F299" s="3">
        <v>1.3867E7</v>
      </c>
      <c r="G299" s="3">
        <v>1.94138E7</v>
      </c>
      <c r="H299" s="3" t="str">
        <f t="shared" si="1"/>
        <v>Fare Increase</v>
      </c>
      <c r="I299" s="3" t="str">
        <f t="shared" si="2"/>
        <v>Issued</v>
      </c>
    </row>
    <row r="300">
      <c r="A300" s="3" t="s">
        <v>336</v>
      </c>
      <c r="B300" s="4">
        <v>46177.0</v>
      </c>
      <c r="C300" s="3" t="s">
        <v>25</v>
      </c>
      <c r="D300" s="3" t="s">
        <v>15</v>
      </c>
      <c r="E300" s="3" t="s">
        <v>42</v>
      </c>
      <c r="F300" s="3">
        <v>1.3298E7</v>
      </c>
      <c r="G300" s="3">
        <v>1.5292699999999998E7</v>
      </c>
      <c r="H300" s="3" t="str">
        <f t="shared" si="1"/>
        <v>Fare Increase</v>
      </c>
      <c r="I300" s="3" t="str">
        <f t="shared" si="2"/>
        <v>Issued</v>
      </c>
    </row>
    <row r="301">
      <c r="A301" s="3" t="s">
        <v>337</v>
      </c>
      <c r="B301" s="4">
        <v>46024.0</v>
      </c>
      <c r="C301" s="3" t="s">
        <v>23</v>
      </c>
      <c r="D301" s="3" t="s">
        <v>15</v>
      </c>
      <c r="E301" s="3" t="s">
        <v>31</v>
      </c>
      <c r="F301" s="3">
        <v>8599000.0</v>
      </c>
      <c r="G301" s="3">
        <v>2.14975E7</v>
      </c>
      <c r="H301" s="3" t="str">
        <f t="shared" si="1"/>
        <v>Fare Increase</v>
      </c>
      <c r="I301" s="3" t="str">
        <f t="shared" si="2"/>
        <v>Issued</v>
      </c>
    </row>
    <row r="302">
      <c r="A302" s="3" t="s">
        <v>338</v>
      </c>
      <c r="B302" s="4">
        <v>46122.0</v>
      </c>
      <c r="C302" s="3" t="s">
        <v>23</v>
      </c>
      <c r="D302" s="3" t="s">
        <v>15</v>
      </c>
      <c r="E302" s="3" t="s">
        <v>31</v>
      </c>
      <c r="F302" s="3">
        <v>2901000.0</v>
      </c>
      <c r="G302" s="3">
        <v>3336149.9999999995</v>
      </c>
      <c r="H302" s="3" t="str">
        <f t="shared" si="1"/>
        <v>Over Buffer</v>
      </c>
      <c r="I302" s="3" t="str">
        <f t="shared" si="2"/>
        <v>Refund</v>
      </c>
    </row>
    <row r="303">
      <c r="A303" s="3" t="s">
        <v>339</v>
      </c>
      <c r="B303" s="4">
        <v>46238.0</v>
      </c>
      <c r="C303" s="3" t="s">
        <v>30</v>
      </c>
      <c r="D303" s="3" t="s">
        <v>15</v>
      </c>
      <c r="E303" s="3" t="s">
        <v>340</v>
      </c>
      <c r="F303" s="3">
        <v>1142000.0</v>
      </c>
      <c r="G303" s="3">
        <v>1598800.0</v>
      </c>
      <c r="H303" s="3" t="str">
        <f t="shared" si="1"/>
        <v>Normal</v>
      </c>
      <c r="I303" s="3" t="str">
        <f t="shared" si="2"/>
        <v>Issued</v>
      </c>
    </row>
    <row r="304">
      <c r="A304" s="3" t="s">
        <v>341</v>
      </c>
      <c r="B304" s="4">
        <v>46376.0</v>
      </c>
      <c r="C304" s="3" t="s">
        <v>23</v>
      </c>
      <c r="D304" s="3" t="s">
        <v>15</v>
      </c>
      <c r="E304" s="3" t="s">
        <v>33</v>
      </c>
      <c r="F304" s="3">
        <v>1.2674E7</v>
      </c>
      <c r="G304" s="3">
        <v>1.20403E7</v>
      </c>
      <c r="H304" s="3" t="str">
        <f t="shared" si="1"/>
        <v>Over Buffer</v>
      </c>
      <c r="I304" s="3" t="str">
        <f t="shared" si="2"/>
        <v>Refund</v>
      </c>
    </row>
    <row r="305">
      <c r="A305" s="3" t="s">
        <v>342</v>
      </c>
      <c r="B305" s="4">
        <v>46237.0</v>
      </c>
      <c r="C305" s="3" t="s">
        <v>18</v>
      </c>
      <c r="D305" s="3" t="s">
        <v>11</v>
      </c>
      <c r="E305" s="3" t="s">
        <v>19</v>
      </c>
      <c r="F305" s="3">
        <v>622000.0</v>
      </c>
      <c r="G305" s="3">
        <v>1555000.0</v>
      </c>
      <c r="H305" s="3" t="str">
        <f t="shared" si="1"/>
        <v>Over Buffer</v>
      </c>
      <c r="I305" s="3" t="str">
        <f t="shared" si="2"/>
        <v>Refund</v>
      </c>
    </row>
    <row r="306">
      <c r="A306" s="3" t="s">
        <v>343</v>
      </c>
      <c r="B306" s="4">
        <v>46101.0</v>
      </c>
      <c r="C306" s="3" t="s">
        <v>25</v>
      </c>
      <c r="D306" s="3" t="s">
        <v>15</v>
      </c>
      <c r="E306" s="3" t="s">
        <v>42</v>
      </c>
      <c r="F306" s="3">
        <v>6007000.0</v>
      </c>
      <c r="G306" s="3">
        <v>6908049.999999999</v>
      </c>
      <c r="H306" s="3" t="str">
        <f t="shared" si="1"/>
        <v>Fare Increase</v>
      </c>
      <c r="I306" s="3" t="str">
        <f t="shared" si="2"/>
        <v>Issued</v>
      </c>
    </row>
    <row r="307">
      <c r="A307" s="3" t="s">
        <v>344</v>
      </c>
      <c r="B307" s="4">
        <v>46085.0</v>
      </c>
      <c r="C307" s="3" t="s">
        <v>18</v>
      </c>
      <c r="D307" s="3" t="s">
        <v>11</v>
      </c>
      <c r="E307" s="3" t="s">
        <v>35</v>
      </c>
      <c r="F307" s="3">
        <v>832000.0</v>
      </c>
      <c r="G307" s="3">
        <v>790400.0</v>
      </c>
      <c r="H307" s="3" t="str">
        <f t="shared" si="1"/>
        <v>Fare Increase</v>
      </c>
      <c r="I307" s="3" t="str">
        <f t="shared" si="2"/>
        <v>Issued</v>
      </c>
    </row>
    <row r="308">
      <c r="A308" s="3" t="s">
        <v>345</v>
      </c>
      <c r="B308" s="4">
        <v>46334.0</v>
      </c>
      <c r="C308" s="3" t="s">
        <v>14</v>
      </c>
      <c r="D308" s="3" t="s">
        <v>15</v>
      </c>
      <c r="E308" s="3" t="s">
        <v>16</v>
      </c>
      <c r="F308" s="3">
        <v>7440000.0</v>
      </c>
      <c r="G308" s="3">
        <v>7068000.0</v>
      </c>
      <c r="H308" s="3" t="str">
        <f t="shared" si="1"/>
        <v>Fare Increase</v>
      </c>
      <c r="I308" s="3" t="str">
        <f t="shared" si="2"/>
        <v>Issued</v>
      </c>
    </row>
    <row r="309">
      <c r="A309" s="3" t="s">
        <v>346</v>
      </c>
      <c r="B309" s="4">
        <v>46034.0</v>
      </c>
      <c r="C309" s="3" t="s">
        <v>14</v>
      </c>
      <c r="D309" s="3" t="s">
        <v>15</v>
      </c>
      <c r="E309" s="3" t="s">
        <v>37</v>
      </c>
      <c r="F309" s="3">
        <v>8549000.0</v>
      </c>
      <c r="G309" s="3">
        <v>8121550.0</v>
      </c>
      <c r="H309" s="3" t="str">
        <f t="shared" si="1"/>
        <v>Fare Increase</v>
      </c>
      <c r="I309" s="3" t="str">
        <f t="shared" si="2"/>
        <v>Issued</v>
      </c>
    </row>
    <row r="310">
      <c r="A310" s="3" t="s">
        <v>347</v>
      </c>
      <c r="B310" s="4">
        <v>46102.0</v>
      </c>
      <c r="C310" s="3" t="s">
        <v>10</v>
      </c>
      <c r="D310" s="3" t="s">
        <v>11</v>
      </c>
      <c r="E310" s="3" t="s">
        <v>35</v>
      </c>
      <c r="F310" s="3">
        <v>1751000.0</v>
      </c>
      <c r="G310" s="3">
        <v>4377500.0</v>
      </c>
      <c r="H310" s="3" t="str">
        <f t="shared" si="1"/>
        <v>Fare Increase</v>
      </c>
      <c r="I310" s="3" t="str">
        <f t="shared" si="2"/>
        <v>Issued</v>
      </c>
    </row>
    <row r="311">
      <c r="A311" s="3" t="s">
        <v>348</v>
      </c>
      <c r="B311" s="4">
        <v>46035.0</v>
      </c>
      <c r="C311" s="3" t="s">
        <v>18</v>
      </c>
      <c r="D311" s="3" t="s">
        <v>11</v>
      </c>
      <c r="E311" s="3" t="s">
        <v>21</v>
      </c>
      <c r="F311" s="3">
        <v>1.3187E7</v>
      </c>
      <c r="G311" s="3">
        <v>1.252765E7</v>
      </c>
      <c r="H311" s="3" t="str">
        <f t="shared" si="1"/>
        <v>Over Buffer</v>
      </c>
      <c r="I311" s="3" t="str">
        <f t="shared" si="2"/>
        <v>Refund</v>
      </c>
    </row>
    <row r="312">
      <c r="A312" s="3" t="s">
        <v>349</v>
      </c>
      <c r="B312" s="4">
        <v>46106.0</v>
      </c>
      <c r="C312" s="3" t="s">
        <v>23</v>
      </c>
      <c r="D312" s="3" t="s">
        <v>15</v>
      </c>
      <c r="E312" s="3" t="s">
        <v>31</v>
      </c>
      <c r="F312" s="3">
        <v>1.0743E7</v>
      </c>
      <c r="G312" s="3">
        <v>2.68575E7</v>
      </c>
      <c r="H312" s="3" t="str">
        <f t="shared" si="1"/>
        <v>Fare Increase</v>
      </c>
      <c r="I312" s="3" t="str">
        <f t="shared" si="2"/>
        <v>Issued</v>
      </c>
    </row>
    <row r="313">
      <c r="A313" s="3" t="s">
        <v>350</v>
      </c>
      <c r="B313" s="4">
        <v>46026.0</v>
      </c>
      <c r="C313" s="3" t="s">
        <v>25</v>
      </c>
      <c r="D313" s="3" t="s">
        <v>15</v>
      </c>
      <c r="E313" s="3" t="s">
        <v>42</v>
      </c>
      <c r="F313" s="3">
        <v>1014000.0</v>
      </c>
      <c r="G313" s="3">
        <v>1166100.0</v>
      </c>
      <c r="H313" s="3" t="str">
        <f t="shared" si="1"/>
        <v>Over Buffer</v>
      </c>
      <c r="I313" s="3" t="str">
        <f t="shared" si="2"/>
        <v>Refund</v>
      </c>
    </row>
    <row r="314">
      <c r="A314" s="3" t="s">
        <v>351</v>
      </c>
      <c r="B314" s="4">
        <v>46130.0</v>
      </c>
      <c r="C314" s="3" t="s">
        <v>18</v>
      </c>
      <c r="D314" s="3" t="s">
        <v>11</v>
      </c>
      <c r="E314" s="3" t="s">
        <v>63</v>
      </c>
      <c r="F314" s="3">
        <v>697000.0</v>
      </c>
      <c r="G314" s="3">
        <v>662150.0</v>
      </c>
      <c r="H314" s="3" t="str">
        <f t="shared" si="1"/>
        <v>Normal</v>
      </c>
      <c r="I314" s="3" t="str">
        <f t="shared" si="2"/>
        <v>Issued</v>
      </c>
    </row>
    <row r="315">
      <c r="A315" s="3" t="s">
        <v>352</v>
      </c>
      <c r="B315" s="4">
        <v>46247.0</v>
      </c>
      <c r="C315" s="3" t="s">
        <v>25</v>
      </c>
      <c r="D315" s="3" t="s">
        <v>15</v>
      </c>
      <c r="E315" s="3" t="s">
        <v>26</v>
      </c>
      <c r="F315" s="3">
        <v>1.4512E7</v>
      </c>
      <c r="G315" s="3">
        <v>1.6688799999999998E7</v>
      </c>
      <c r="H315" s="3" t="str">
        <f t="shared" si="1"/>
        <v>Normal</v>
      </c>
      <c r="I315" s="3" t="str">
        <f t="shared" si="2"/>
        <v>Issued</v>
      </c>
    </row>
    <row r="316">
      <c r="A316" s="3" t="s">
        <v>353</v>
      </c>
      <c r="B316" s="4">
        <v>46032.0</v>
      </c>
      <c r="C316" s="3" t="s">
        <v>10</v>
      </c>
      <c r="D316" s="3" t="s">
        <v>11</v>
      </c>
      <c r="E316" s="3" t="s">
        <v>21</v>
      </c>
      <c r="F316" s="3">
        <v>4184000.0</v>
      </c>
      <c r="G316" s="3">
        <v>1.046E7</v>
      </c>
      <c r="H316" s="3" t="str">
        <f t="shared" si="1"/>
        <v>Normal</v>
      </c>
      <c r="I316" s="3" t="str">
        <f t="shared" si="2"/>
        <v>Issued</v>
      </c>
    </row>
    <row r="317">
      <c r="A317" s="3" t="s">
        <v>354</v>
      </c>
      <c r="B317" s="4">
        <v>46163.0</v>
      </c>
      <c r="C317" s="3" t="s">
        <v>10</v>
      </c>
      <c r="D317" s="3" t="s">
        <v>11</v>
      </c>
      <c r="E317" s="3" t="s">
        <v>12</v>
      </c>
      <c r="F317" s="3">
        <v>1.4487E7</v>
      </c>
      <c r="G317" s="3">
        <v>1.376265E7</v>
      </c>
      <c r="H317" s="3" t="str">
        <f t="shared" si="1"/>
        <v>Over Buffer</v>
      </c>
      <c r="I317" s="3" t="str">
        <f t="shared" si="2"/>
        <v>Refund</v>
      </c>
    </row>
    <row r="318">
      <c r="A318" s="3" t="s">
        <v>355</v>
      </c>
      <c r="B318" s="4">
        <v>46159.0</v>
      </c>
      <c r="C318" s="3" t="s">
        <v>30</v>
      </c>
      <c r="D318" s="3" t="s">
        <v>15</v>
      </c>
      <c r="E318" s="3" t="s">
        <v>42</v>
      </c>
      <c r="F318" s="3">
        <v>2781000.0</v>
      </c>
      <c r="G318" s="3">
        <v>3893399.9999999995</v>
      </c>
      <c r="H318" s="3" t="str">
        <f t="shared" si="1"/>
        <v>Fare Increase</v>
      </c>
      <c r="I318" s="3" t="str">
        <f t="shared" si="2"/>
        <v>Issued</v>
      </c>
    </row>
    <row r="319">
      <c r="A319" s="3" t="s">
        <v>356</v>
      </c>
      <c r="B319" s="4">
        <v>46239.0</v>
      </c>
      <c r="C319" s="3" t="s">
        <v>30</v>
      </c>
      <c r="D319" s="3" t="s">
        <v>15</v>
      </c>
      <c r="E319" s="3" t="s">
        <v>78</v>
      </c>
      <c r="F319" s="3">
        <v>652000.0</v>
      </c>
      <c r="G319" s="3">
        <v>619400.0</v>
      </c>
      <c r="H319" s="3" t="str">
        <f t="shared" si="1"/>
        <v>Fare Increase</v>
      </c>
      <c r="I319" s="3" t="str">
        <f t="shared" si="2"/>
        <v>Issued</v>
      </c>
    </row>
    <row r="320">
      <c r="A320" s="3" t="s">
        <v>357</v>
      </c>
      <c r="B320" s="4">
        <v>46119.0</v>
      </c>
      <c r="C320" s="3" t="s">
        <v>23</v>
      </c>
      <c r="D320" s="3" t="s">
        <v>15</v>
      </c>
      <c r="E320" s="3" t="s">
        <v>31</v>
      </c>
      <c r="F320" s="3">
        <v>1315000.0</v>
      </c>
      <c r="G320" s="3">
        <v>1840999.9999999998</v>
      </c>
      <c r="H320" s="3" t="str">
        <f t="shared" si="1"/>
        <v>Fare Increase</v>
      </c>
      <c r="I320" s="3" t="str">
        <f t="shared" si="2"/>
        <v>Issued</v>
      </c>
    </row>
    <row r="321">
      <c r="A321" s="3" t="s">
        <v>358</v>
      </c>
      <c r="B321" s="4">
        <v>46329.0</v>
      </c>
      <c r="C321" s="3" t="s">
        <v>14</v>
      </c>
      <c r="D321" s="3" t="s">
        <v>15</v>
      </c>
      <c r="E321" s="3" t="s">
        <v>37</v>
      </c>
      <c r="F321" s="3">
        <v>1423000.0</v>
      </c>
      <c r="G321" s="3">
        <v>3557500.0</v>
      </c>
      <c r="H321" s="3" t="str">
        <f t="shared" si="1"/>
        <v>Fare Increase</v>
      </c>
      <c r="I321" s="3" t="str">
        <f t="shared" si="2"/>
        <v>Issued</v>
      </c>
    </row>
    <row r="322">
      <c r="A322" s="3" t="s">
        <v>359</v>
      </c>
      <c r="B322" s="4">
        <v>46322.0</v>
      </c>
      <c r="C322" s="3" t="s">
        <v>23</v>
      </c>
      <c r="D322" s="3" t="s">
        <v>15</v>
      </c>
      <c r="E322" s="3" t="s">
        <v>31</v>
      </c>
      <c r="F322" s="3">
        <v>6986000.0</v>
      </c>
      <c r="G322" s="3">
        <v>1.7465E7</v>
      </c>
      <c r="H322" s="3" t="str">
        <f t="shared" si="1"/>
        <v>Over Buffer</v>
      </c>
      <c r="I322" s="3" t="str">
        <f t="shared" si="2"/>
        <v>Refund</v>
      </c>
    </row>
    <row r="323">
      <c r="A323" s="3" t="s">
        <v>360</v>
      </c>
      <c r="B323" s="4">
        <v>46270.0</v>
      </c>
      <c r="C323" s="3" t="s">
        <v>30</v>
      </c>
      <c r="D323" s="3" t="s">
        <v>15</v>
      </c>
      <c r="E323" s="3" t="s">
        <v>49</v>
      </c>
      <c r="F323" s="3">
        <v>1113000.0</v>
      </c>
      <c r="G323" s="3">
        <v>1057350.0</v>
      </c>
      <c r="H323" s="3" t="str">
        <f t="shared" si="1"/>
        <v>Fare Increase</v>
      </c>
      <c r="I323" s="3" t="str">
        <f t="shared" si="2"/>
        <v>Issued</v>
      </c>
    </row>
    <row r="324">
      <c r="A324" s="3" t="s">
        <v>361</v>
      </c>
      <c r="B324" s="4">
        <v>46321.0</v>
      </c>
      <c r="C324" s="3" t="s">
        <v>10</v>
      </c>
      <c r="D324" s="3" t="s">
        <v>11</v>
      </c>
      <c r="E324" s="3" t="s">
        <v>21</v>
      </c>
      <c r="F324" s="3">
        <v>1565000.0</v>
      </c>
      <c r="G324" s="3">
        <v>2191000.0</v>
      </c>
      <c r="H324" s="3" t="str">
        <f t="shared" si="1"/>
        <v>Over Buffer</v>
      </c>
      <c r="I324" s="3" t="str">
        <f t="shared" si="2"/>
        <v>Refund</v>
      </c>
    </row>
    <row r="325">
      <c r="A325" s="3" t="s">
        <v>362</v>
      </c>
      <c r="B325" s="4">
        <v>46165.0</v>
      </c>
      <c r="C325" s="3" t="s">
        <v>18</v>
      </c>
      <c r="D325" s="3" t="s">
        <v>11</v>
      </c>
      <c r="E325" s="3" t="s">
        <v>35</v>
      </c>
      <c r="F325" s="3">
        <v>930000.0</v>
      </c>
      <c r="G325" s="3">
        <v>1069500.0</v>
      </c>
      <c r="H325" s="3" t="str">
        <f t="shared" si="1"/>
        <v>Normal</v>
      </c>
      <c r="I325" s="3" t="str">
        <f t="shared" si="2"/>
        <v>Issued</v>
      </c>
    </row>
    <row r="326">
      <c r="A326" s="3" t="s">
        <v>363</v>
      </c>
      <c r="B326" s="4">
        <v>46293.0</v>
      </c>
      <c r="C326" s="3" t="s">
        <v>18</v>
      </c>
      <c r="D326" s="3" t="s">
        <v>11</v>
      </c>
      <c r="E326" s="3" t="s">
        <v>12</v>
      </c>
      <c r="F326" s="3">
        <v>1487000.0</v>
      </c>
      <c r="G326" s="3">
        <v>2081799.9999999998</v>
      </c>
      <c r="H326" s="3" t="str">
        <f t="shared" si="1"/>
        <v>Over Buffer</v>
      </c>
      <c r="I326" s="3" t="str">
        <f t="shared" si="2"/>
        <v>Refund</v>
      </c>
    </row>
    <row r="327">
      <c r="A327" s="3" t="s">
        <v>364</v>
      </c>
      <c r="B327" s="4">
        <v>46043.0</v>
      </c>
      <c r="C327" s="3" t="s">
        <v>18</v>
      </c>
      <c r="D327" s="3" t="s">
        <v>11</v>
      </c>
      <c r="E327" s="3" t="s">
        <v>21</v>
      </c>
      <c r="F327" s="3">
        <v>4655000.0</v>
      </c>
      <c r="G327" s="3">
        <v>5353250.0</v>
      </c>
      <c r="H327" s="3" t="str">
        <f t="shared" si="1"/>
        <v>Fare Increase</v>
      </c>
      <c r="I327" s="3" t="str">
        <f t="shared" si="2"/>
        <v>Issued</v>
      </c>
    </row>
    <row r="328">
      <c r="A328" s="3" t="s">
        <v>365</v>
      </c>
      <c r="B328" s="4">
        <v>46159.0</v>
      </c>
      <c r="C328" s="3" t="s">
        <v>18</v>
      </c>
      <c r="D328" s="3" t="s">
        <v>11</v>
      </c>
      <c r="E328" s="3" t="s">
        <v>21</v>
      </c>
      <c r="F328" s="3">
        <v>1.0947E7</v>
      </c>
      <c r="G328" s="3">
        <v>2.73675E7</v>
      </c>
      <c r="H328" s="3" t="str">
        <f t="shared" si="1"/>
        <v>Fare Increase</v>
      </c>
      <c r="I328" s="3" t="str">
        <f t="shared" si="2"/>
        <v>Issued</v>
      </c>
    </row>
    <row r="329">
      <c r="A329" s="3" t="s">
        <v>366</v>
      </c>
      <c r="B329" s="4">
        <v>46116.0</v>
      </c>
      <c r="C329" s="3" t="s">
        <v>30</v>
      </c>
      <c r="D329" s="3" t="s">
        <v>15</v>
      </c>
      <c r="E329" s="3" t="s">
        <v>232</v>
      </c>
      <c r="F329" s="3">
        <v>1620000.0</v>
      </c>
      <c r="G329" s="3">
        <v>1539000.0</v>
      </c>
      <c r="H329" s="3" t="str">
        <f t="shared" si="1"/>
        <v>Fare Increase</v>
      </c>
      <c r="I329" s="3" t="str">
        <f t="shared" si="2"/>
        <v>Issued</v>
      </c>
    </row>
    <row r="330">
      <c r="A330" s="3" t="s">
        <v>367</v>
      </c>
      <c r="B330" s="4">
        <v>46311.0</v>
      </c>
      <c r="C330" s="3" t="s">
        <v>10</v>
      </c>
      <c r="D330" s="3" t="s">
        <v>11</v>
      </c>
      <c r="E330" s="3" t="s">
        <v>63</v>
      </c>
      <c r="F330" s="3">
        <v>3844000.0</v>
      </c>
      <c r="G330" s="3">
        <v>9610000.0</v>
      </c>
      <c r="H330" s="3" t="str">
        <f t="shared" si="1"/>
        <v>Over Buffer</v>
      </c>
      <c r="I330" s="3" t="str">
        <f t="shared" si="2"/>
        <v>Refund</v>
      </c>
    </row>
    <row r="331">
      <c r="A331" s="3" t="s">
        <v>368</v>
      </c>
      <c r="B331" s="4">
        <v>46235.0</v>
      </c>
      <c r="C331" s="3" t="s">
        <v>30</v>
      </c>
      <c r="D331" s="3" t="s">
        <v>15</v>
      </c>
      <c r="E331" s="3" t="s">
        <v>63</v>
      </c>
      <c r="F331" s="3">
        <v>1.0481E7</v>
      </c>
      <c r="G331" s="3">
        <v>2.62025E7</v>
      </c>
      <c r="H331" s="3" t="str">
        <f t="shared" si="1"/>
        <v>Over Buffer</v>
      </c>
      <c r="I331" s="3" t="str">
        <f t="shared" si="2"/>
        <v>Refund</v>
      </c>
    </row>
    <row r="332">
      <c r="A332" s="3" t="s">
        <v>369</v>
      </c>
      <c r="B332" s="4">
        <v>46034.0</v>
      </c>
      <c r="C332" s="3" t="s">
        <v>10</v>
      </c>
      <c r="D332" s="3" t="s">
        <v>11</v>
      </c>
      <c r="E332" s="3" t="s">
        <v>35</v>
      </c>
      <c r="F332" s="3">
        <v>603000.0</v>
      </c>
      <c r="G332" s="3">
        <v>693450.0</v>
      </c>
      <c r="H332" s="3" t="str">
        <f t="shared" si="1"/>
        <v>Fare Increase</v>
      </c>
      <c r="I332" s="3" t="str">
        <f t="shared" si="2"/>
        <v>Issued</v>
      </c>
    </row>
    <row r="333">
      <c r="A333" s="3" t="s">
        <v>370</v>
      </c>
      <c r="B333" s="4">
        <v>46093.0</v>
      </c>
      <c r="C333" s="3" t="s">
        <v>23</v>
      </c>
      <c r="D333" s="3" t="s">
        <v>15</v>
      </c>
      <c r="E333" s="3" t="s">
        <v>19</v>
      </c>
      <c r="F333" s="3">
        <v>1777000.0</v>
      </c>
      <c r="G333" s="3">
        <v>2043549.9999999998</v>
      </c>
      <c r="H333" s="3" t="str">
        <f t="shared" si="1"/>
        <v>Fare Increase</v>
      </c>
      <c r="I333" s="3" t="str">
        <f t="shared" si="2"/>
        <v>Issued</v>
      </c>
    </row>
    <row r="334">
      <c r="A334" s="3" t="s">
        <v>371</v>
      </c>
      <c r="B334" s="4">
        <v>46206.0</v>
      </c>
      <c r="C334" s="3" t="s">
        <v>18</v>
      </c>
      <c r="D334" s="3" t="s">
        <v>11</v>
      </c>
      <c r="E334" s="3" t="s">
        <v>12</v>
      </c>
      <c r="F334" s="3">
        <v>1379000.0</v>
      </c>
      <c r="G334" s="3">
        <v>1930599.9999999998</v>
      </c>
      <c r="H334" s="3" t="str">
        <f t="shared" si="1"/>
        <v>Fare Increase</v>
      </c>
      <c r="I334" s="3" t="str">
        <f t="shared" si="2"/>
        <v>Issued</v>
      </c>
    </row>
    <row r="335">
      <c r="A335" s="3" t="s">
        <v>372</v>
      </c>
      <c r="B335" s="4">
        <v>46336.0</v>
      </c>
      <c r="C335" s="3" t="s">
        <v>18</v>
      </c>
      <c r="D335" s="3" t="s">
        <v>11</v>
      </c>
      <c r="E335" s="3" t="s">
        <v>19</v>
      </c>
      <c r="F335" s="3">
        <v>2158000.0</v>
      </c>
      <c r="G335" s="3">
        <v>3021200.0</v>
      </c>
      <c r="H335" s="3" t="str">
        <f t="shared" si="1"/>
        <v>Fare Increase</v>
      </c>
      <c r="I335" s="3" t="str">
        <f t="shared" si="2"/>
        <v>Issued</v>
      </c>
    </row>
    <row r="336">
      <c r="A336" s="3" t="s">
        <v>373</v>
      </c>
      <c r="B336" s="4">
        <v>46122.0</v>
      </c>
      <c r="C336" s="3" t="s">
        <v>30</v>
      </c>
      <c r="D336" s="3" t="s">
        <v>15</v>
      </c>
      <c r="E336" s="3" t="s">
        <v>21</v>
      </c>
      <c r="F336" s="3">
        <v>959000.0</v>
      </c>
      <c r="G336" s="3">
        <v>1102850.0</v>
      </c>
      <c r="H336" s="3" t="str">
        <f t="shared" si="1"/>
        <v>Normal</v>
      </c>
      <c r="I336" s="3" t="str">
        <f t="shared" si="2"/>
        <v>Issued</v>
      </c>
    </row>
    <row r="337">
      <c r="A337" s="3" t="s">
        <v>374</v>
      </c>
      <c r="B337" s="4">
        <v>46221.0</v>
      </c>
      <c r="C337" s="3" t="s">
        <v>18</v>
      </c>
      <c r="D337" s="3" t="s">
        <v>11</v>
      </c>
      <c r="E337" s="3" t="s">
        <v>19</v>
      </c>
      <c r="F337" s="3">
        <v>6891000.0</v>
      </c>
      <c r="G337" s="3">
        <v>1.72275E7</v>
      </c>
      <c r="H337" s="3" t="str">
        <f t="shared" si="1"/>
        <v>Fare Increase</v>
      </c>
      <c r="I337" s="3" t="str">
        <f t="shared" si="2"/>
        <v>Issued</v>
      </c>
    </row>
    <row r="338">
      <c r="A338" s="3" t="s">
        <v>375</v>
      </c>
      <c r="B338" s="4">
        <v>46383.0</v>
      </c>
      <c r="C338" s="3" t="s">
        <v>18</v>
      </c>
      <c r="D338" s="3" t="s">
        <v>11</v>
      </c>
      <c r="E338" s="3" t="s">
        <v>19</v>
      </c>
      <c r="F338" s="3">
        <v>821000.0</v>
      </c>
      <c r="G338" s="3">
        <v>1149400.0</v>
      </c>
      <c r="H338" s="3" t="str">
        <f t="shared" si="1"/>
        <v>Fare Increase</v>
      </c>
      <c r="I338" s="3" t="str">
        <f t="shared" si="2"/>
        <v>Issued</v>
      </c>
    </row>
    <row r="339">
      <c r="A339" s="3" t="s">
        <v>376</v>
      </c>
      <c r="B339" s="4">
        <v>46258.0</v>
      </c>
      <c r="C339" s="3" t="s">
        <v>23</v>
      </c>
      <c r="D339" s="3" t="s">
        <v>15</v>
      </c>
      <c r="E339" s="3" t="s">
        <v>33</v>
      </c>
      <c r="F339" s="3">
        <v>751000.0</v>
      </c>
      <c r="G339" s="3">
        <v>1877500.0</v>
      </c>
      <c r="H339" s="3" t="str">
        <f t="shared" si="1"/>
        <v>Fare Increase</v>
      </c>
      <c r="I339" s="3" t="str">
        <f t="shared" si="2"/>
        <v>Issued</v>
      </c>
    </row>
    <row r="340">
      <c r="A340" s="3" t="s">
        <v>377</v>
      </c>
      <c r="B340" s="4">
        <v>46176.0</v>
      </c>
      <c r="C340" s="3" t="s">
        <v>23</v>
      </c>
      <c r="D340" s="3" t="s">
        <v>15</v>
      </c>
      <c r="E340" s="3" t="s">
        <v>33</v>
      </c>
      <c r="F340" s="3">
        <v>1.2389E7</v>
      </c>
      <c r="G340" s="3">
        <v>1.176955E7</v>
      </c>
      <c r="H340" s="3" t="str">
        <f t="shared" si="1"/>
        <v>Normal</v>
      </c>
      <c r="I340" s="3" t="str">
        <f t="shared" si="2"/>
        <v>Issued</v>
      </c>
    </row>
    <row r="341">
      <c r="A341" s="3" t="s">
        <v>378</v>
      </c>
      <c r="B341" s="4">
        <v>46120.0</v>
      </c>
      <c r="C341" s="3" t="s">
        <v>18</v>
      </c>
      <c r="D341" s="3" t="s">
        <v>11</v>
      </c>
      <c r="E341" s="3" t="s">
        <v>35</v>
      </c>
      <c r="F341" s="3">
        <v>549000.0</v>
      </c>
      <c r="G341" s="3">
        <v>521550.0</v>
      </c>
      <c r="H341" s="3" t="str">
        <f t="shared" si="1"/>
        <v>Over Buffer</v>
      </c>
      <c r="I341" s="3" t="str">
        <f t="shared" si="2"/>
        <v>Refund</v>
      </c>
    </row>
    <row r="342">
      <c r="A342" s="3" t="s">
        <v>379</v>
      </c>
      <c r="B342" s="4">
        <v>46119.0</v>
      </c>
      <c r="C342" s="3" t="s">
        <v>18</v>
      </c>
      <c r="D342" s="3" t="s">
        <v>11</v>
      </c>
      <c r="E342" s="3" t="s">
        <v>21</v>
      </c>
      <c r="F342" s="3">
        <v>1301000.0</v>
      </c>
      <c r="G342" s="3">
        <v>1235950.0</v>
      </c>
      <c r="H342" s="3" t="str">
        <f t="shared" si="1"/>
        <v>Fare Increase</v>
      </c>
      <c r="I342" s="3" t="str">
        <f t="shared" si="2"/>
        <v>Issued</v>
      </c>
    </row>
    <row r="343">
      <c r="A343" s="3" t="s">
        <v>380</v>
      </c>
      <c r="B343" s="4">
        <v>46246.0</v>
      </c>
      <c r="C343" s="3" t="s">
        <v>10</v>
      </c>
      <c r="D343" s="3" t="s">
        <v>11</v>
      </c>
      <c r="E343" s="3" t="s">
        <v>63</v>
      </c>
      <c r="F343" s="3">
        <v>531000.0</v>
      </c>
      <c r="G343" s="3">
        <v>1327500.0</v>
      </c>
      <c r="H343" s="3" t="str">
        <f t="shared" si="1"/>
        <v>Normal</v>
      </c>
      <c r="I343" s="3" t="str">
        <f t="shared" si="2"/>
        <v>Issued</v>
      </c>
    </row>
    <row r="344">
      <c r="A344" s="3" t="s">
        <v>381</v>
      </c>
      <c r="B344" s="4">
        <v>46058.0</v>
      </c>
      <c r="C344" s="3" t="s">
        <v>18</v>
      </c>
      <c r="D344" s="3" t="s">
        <v>11</v>
      </c>
      <c r="E344" s="3" t="s">
        <v>35</v>
      </c>
      <c r="F344" s="3">
        <v>1536000.0</v>
      </c>
      <c r="G344" s="3">
        <v>1766399.9999999998</v>
      </c>
      <c r="H344" s="3" t="str">
        <f t="shared" si="1"/>
        <v>Normal</v>
      </c>
      <c r="I344" s="3" t="str">
        <f t="shared" si="2"/>
        <v>Issued</v>
      </c>
    </row>
    <row r="345">
      <c r="A345" s="3" t="s">
        <v>382</v>
      </c>
      <c r="B345" s="4">
        <v>46145.0</v>
      </c>
      <c r="C345" s="3" t="s">
        <v>23</v>
      </c>
      <c r="D345" s="3" t="s">
        <v>15</v>
      </c>
      <c r="E345" s="3" t="s">
        <v>19</v>
      </c>
      <c r="F345" s="3">
        <v>1.1227E7</v>
      </c>
      <c r="G345" s="3">
        <v>1.2911049999999998E7</v>
      </c>
      <c r="H345" s="3" t="str">
        <f t="shared" si="1"/>
        <v>Over Buffer</v>
      </c>
      <c r="I345" s="3" t="str">
        <f t="shared" si="2"/>
        <v>Refund</v>
      </c>
    </row>
    <row r="346">
      <c r="A346" s="3" t="s">
        <v>383</v>
      </c>
      <c r="B346" s="4">
        <v>46249.0</v>
      </c>
      <c r="C346" s="3" t="s">
        <v>30</v>
      </c>
      <c r="D346" s="3" t="s">
        <v>15</v>
      </c>
      <c r="E346" s="3" t="s">
        <v>42</v>
      </c>
      <c r="F346" s="3">
        <v>1.1734E7</v>
      </c>
      <c r="G346" s="3">
        <v>1.6427599999999998E7</v>
      </c>
      <c r="H346" s="3" t="str">
        <f t="shared" si="1"/>
        <v>Normal</v>
      </c>
      <c r="I346" s="3" t="str">
        <f t="shared" si="2"/>
        <v>Issued</v>
      </c>
    </row>
    <row r="347">
      <c r="A347" s="3" t="s">
        <v>384</v>
      </c>
      <c r="B347" s="4">
        <v>46368.0</v>
      </c>
      <c r="C347" s="3" t="s">
        <v>30</v>
      </c>
      <c r="D347" s="3" t="s">
        <v>15</v>
      </c>
      <c r="E347" s="3" t="s">
        <v>19</v>
      </c>
      <c r="F347" s="3">
        <v>1090000.0</v>
      </c>
      <c r="G347" s="3">
        <v>1253500.0</v>
      </c>
      <c r="H347" s="3" t="str">
        <f t="shared" si="1"/>
        <v>Over Buffer</v>
      </c>
      <c r="I347" s="3" t="str">
        <f t="shared" si="2"/>
        <v>Refund</v>
      </c>
    </row>
    <row r="348">
      <c r="A348" s="3" t="s">
        <v>385</v>
      </c>
      <c r="B348" s="4">
        <v>46157.0</v>
      </c>
      <c r="C348" s="3" t="s">
        <v>10</v>
      </c>
      <c r="D348" s="3" t="s">
        <v>11</v>
      </c>
      <c r="E348" s="3" t="s">
        <v>12</v>
      </c>
      <c r="F348" s="3">
        <v>1183000.0</v>
      </c>
      <c r="G348" s="3">
        <v>2957500.0</v>
      </c>
      <c r="H348" s="3" t="str">
        <f t="shared" si="1"/>
        <v>Fare Increase</v>
      </c>
      <c r="I348" s="3" t="str">
        <f t="shared" si="2"/>
        <v>Issued</v>
      </c>
    </row>
    <row r="349">
      <c r="A349" s="3" t="s">
        <v>386</v>
      </c>
      <c r="B349" s="4">
        <v>46147.0</v>
      </c>
      <c r="C349" s="3" t="s">
        <v>23</v>
      </c>
      <c r="D349" s="3" t="s">
        <v>15</v>
      </c>
      <c r="E349" s="3" t="s">
        <v>19</v>
      </c>
      <c r="F349" s="3">
        <v>1786000.0</v>
      </c>
      <c r="G349" s="3">
        <v>2500400.0</v>
      </c>
      <c r="H349" s="3" t="str">
        <f t="shared" si="1"/>
        <v>Over Buffer</v>
      </c>
      <c r="I349" s="3" t="str">
        <f t="shared" si="2"/>
        <v>Refund</v>
      </c>
    </row>
    <row r="350">
      <c r="A350" s="3" t="s">
        <v>387</v>
      </c>
      <c r="B350" s="4">
        <v>46225.0</v>
      </c>
      <c r="C350" s="3" t="s">
        <v>14</v>
      </c>
      <c r="D350" s="3" t="s">
        <v>15</v>
      </c>
      <c r="E350" s="3" t="s">
        <v>63</v>
      </c>
      <c r="F350" s="3">
        <v>1093000.0</v>
      </c>
      <c r="G350" s="3">
        <v>2732500.0</v>
      </c>
      <c r="H350" s="3" t="str">
        <f t="shared" si="1"/>
        <v>Over Buffer</v>
      </c>
      <c r="I350" s="3" t="str">
        <f t="shared" si="2"/>
        <v>Refund</v>
      </c>
    </row>
    <row r="351">
      <c r="A351" s="3" t="s">
        <v>388</v>
      </c>
      <c r="B351" s="4">
        <v>46248.0</v>
      </c>
      <c r="C351" s="3" t="s">
        <v>14</v>
      </c>
      <c r="D351" s="3" t="s">
        <v>15</v>
      </c>
      <c r="E351" s="3" t="s">
        <v>63</v>
      </c>
      <c r="F351" s="3">
        <v>2750000.0</v>
      </c>
      <c r="G351" s="3">
        <v>2612500.0</v>
      </c>
      <c r="H351" s="3" t="str">
        <f t="shared" si="1"/>
        <v>Fare Increase</v>
      </c>
      <c r="I351" s="3" t="str">
        <f t="shared" si="2"/>
        <v>Issued</v>
      </c>
    </row>
    <row r="352">
      <c r="A352" s="3" t="s">
        <v>389</v>
      </c>
      <c r="B352" s="4">
        <v>46036.0</v>
      </c>
      <c r="C352" s="3" t="s">
        <v>23</v>
      </c>
      <c r="D352" s="3" t="s">
        <v>15</v>
      </c>
      <c r="E352" s="3" t="s">
        <v>31</v>
      </c>
      <c r="F352" s="3">
        <v>1780000.0</v>
      </c>
      <c r="G352" s="3">
        <v>4450000.0</v>
      </c>
      <c r="H352" s="3" t="str">
        <f t="shared" si="1"/>
        <v>Fare Increase</v>
      </c>
      <c r="I352" s="3" t="str">
        <f t="shared" si="2"/>
        <v>Issued</v>
      </c>
    </row>
    <row r="353">
      <c r="A353" s="3" t="s">
        <v>390</v>
      </c>
      <c r="B353" s="4">
        <v>46213.0</v>
      </c>
      <c r="C353" s="3" t="s">
        <v>10</v>
      </c>
      <c r="D353" s="3" t="s">
        <v>11</v>
      </c>
      <c r="E353" s="3" t="s">
        <v>12</v>
      </c>
      <c r="F353" s="3">
        <v>8680000.0</v>
      </c>
      <c r="G353" s="3">
        <v>1.2152E7</v>
      </c>
      <c r="H353" s="3" t="str">
        <f t="shared" si="1"/>
        <v>Normal</v>
      </c>
      <c r="I353" s="3" t="str">
        <f t="shared" si="2"/>
        <v>Issued</v>
      </c>
    </row>
    <row r="354">
      <c r="A354" s="3" t="s">
        <v>391</v>
      </c>
      <c r="B354" s="4">
        <v>46323.0</v>
      </c>
      <c r="C354" s="3" t="s">
        <v>18</v>
      </c>
      <c r="D354" s="3" t="s">
        <v>11</v>
      </c>
      <c r="E354" s="3" t="s">
        <v>19</v>
      </c>
      <c r="F354" s="3">
        <v>675000.0</v>
      </c>
      <c r="G354" s="3">
        <v>944999.9999999999</v>
      </c>
      <c r="H354" s="3" t="str">
        <f t="shared" si="1"/>
        <v>Fare Increase</v>
      </c>
      <c r="I354" s="3" t="str">
        <f t="shared" si="2"/>
        <v>Issued</v>
      </c>
    </row>
    <row r="355">
      <c r="A355" s="3" t="s">
        <v>392</v>
      </c>
      <c r="B355" s="4">
        <v>46279.0</v>
      </c>
      <c r="C355" s="3" t="s">
        <v>14</v>
      </c>
      <c r="D355" s="3" t="s">
        <v>15</v>
      </c>
      <c r="E355" s="3" t="s">
        <v>37</v>
      </c>
      <c r="F355" s="3">
        <v>459000.0</v>
      </c>
      <c r="G355" s="3">
        <v>642600.0</v>
      </c>
      <c r="H355" s="3" t="str">
        <f t="shared" si="1"/>
        <v>Normal</v>
      </c>
      <c r="I355" s="3" t="str">
        <f t="shared" si="2"/>
        <v>Issued</v>
      </c>
    </row>
    <row r="356">
      <c r="A356" s="3" t="s">
        <v>393</v>
      </c>
      <c r="B356" s="4">
        <v>46282.0</v>
      </c>
      <c r="C356" s="3" t="s">
        <v>10</v>
      </c>
      <c r="D356" s="3" t="s">
        <v>11</v>
      </c>
      <c r="E356" s="3" t="s">
        <v>63</v>
      </c>
      <c r="F356" s="3">
        <v>1530000.0</v>
      </c>
      <c r="G356" s="3">
        <v>3825000.0</v>
      </c>
      <c r="H356" s="3" t="str">
        <f t="shared" si="1"/>
        <v>Over Buffer</v>
      </c>
      <c r="I356" s="3" t="str">
        <f t="shared" si="2"/>
        <v>Refund</v>
      </c>
    </row>
    <row r="357">
      <c r="A357" s="3" t="s">
        <v>394</v>
      </c>
      <c r="B357" s="4">
        <v>46174.0</v>
      </c>
      <c r="C357" s="3" t="s">
        <v>10</v>
      </c>
      <c r="D357" s="3" t="s">
        <v>11</v>
      </c>
      <c r="E357" s="3" t="s">
        <v>63</v>
      </c>
      <c r="F357" s="3">
        <v>883000.0</v>
      </c>
      <c r="G357" s="3">
        <v>2207500.0</v>
      </c>
      <c r="H357" s="3" t="str">
        <f t="shared" si="1"/>
        <v>Fare Increase</v>
      </c>
      <c r="I357" s="3" t="str">
        <f t="shared" si="2"/>
        <v>Issued</v>
      </c>
    </row>
    <row r="358">
      <c r="A358" s="3" t="s">
        <v>395</v>
      </c>
      <c r="B358" s="4">
        <v>46139.0</v>
      </c>
      <c r="C358" s="3" t="s">
        <v>14</v>
      </c>
      <c r="D358" s="3" t="s">
        <v>15</v>
      </c>
      <c r="E358" s="3" t="s">
        <v>63</v>
      </c>
      <c r="F358" s="3">
        <v>1616000.0</v>
      </c>
      <c r="G358" s="3">
        <v>1858399.9999999998</v>
      </c>
      <c r="H358" s="3" t="str">
        <f t="shared" si="1"/>
        <v>Normal</v>
      </c>
      <c r="I358" s="3" t="str">
        <f t="shared" si="2"/>
        <v>Issued</v>
      </c>
    </row>
    <row r="359">
      <c r="A359" s="3" t="s">
        <v>396</v>
      </c>
      <c r="B359" s="4">
        <v>46115.0</v>
      </c>
      <c r="C359" s="3" t="s">
        <v>25</v>
      </c>
      <c r="D359" s="3" t="s">
        <v>15</v>
      </c>
      <c r="E359" s="3" t="s">
        <v>116</v>
      </c>
      <c r="F359" s="3">
        <v>798000.0</v>
      </c>
      <c r="G359" s="3">
        <v>1117200.0</v>
      </c>
      <c r="H359" s="3" t="str">
        <f t="shared" si="1"/>
        <v>Fare Increase</v>
      </c>
      <c r="I359" s="3" t="str">
        <f t="shared" si="2"/>
        <v>Issued</v>
      </c>
    </row>
    <row r="360">
      <c r="A360" s="3" t="s">
        <v>397</v>
      </c>
      <c r="B360" s="4">
        <v>46274.0</v>
      </c>
      <c r="C360" s="3" t="s">
        <v>30</v>
      </c>
      <c r="D360" s="3" t="s">
        <v>15</v>
      </c>
      <c r="E360" s="3" t="s">
        <v>33</v>
      </c>
      <c r="F360" s="3">
        <v>1.1167E7</v>
      </c>
      <c r="G360" s="3">
        <v>1.2842049999999998E7</v>
      </c>
      <c r="H360" s="3" t="str">
        <f t="shared" si="1"/>
        <v>Over Buffer</v>
      </c>
      <c r="I360" s="3" t="str">
        <f t="shared" si="2"/>
        <v>Refund</v>
      </c>
    </row>
    <row r="361">
      <c r="A361" s="3" t="s">
        <v>398</v>
      </c>
      <c r="B361" s="4">
        <v>46349.0</v>
      </c>
      <c r="C361" s="3" t="s">
        <v>10</v>
      </c>
      <c r="D361" s="3" t="s">
        <v>11</v>
      </c>
      <c r="E361" s="3" t="s">
        <v>21</v>
      </c>
      <c r="F361" s="3">
        <v>3337000.0</v>
      </c>
      <c r="G361" s="3">
        <v>4671800.0</v>
      </c>
      <c r="H361" s="3" t="str">
        <f t="shared" si="1"/>
        <v>Fare Increase</v>
      </c>
      <c r="I361" s="3" t="str">
        <f t="shared" si="2"/>
        <v>Issued</v>
      </c>
    </row>
    <row r="362">
      <c r="A362" s="3" t="s">
        <v>399</v>
      </c>
      <c r="B362" s="4">
        <v>46380.0</v>
      </c>
      <c r="C362" s="3" t="s">
        <v>25</v>
      </c>
      <c r="D362" s="3" t="s">
        <v>15</v>
      </c>
      <c r="E362" s="3" t="s">
        <v>61</v>
      </c>
      <c r="F362" s="3">
        <v>734000.0</v>
      </c>
      <c r="G362" s="3">
        <v>697300.0</v>
      </c>
      <c r="H362" s="3" t="str">
        <f t="shared" si="1"/>
        <v>Fare Increase</v>
      </c>
      <c r="I362" s="3" t="str">
        <f t="shared" si="2"/>
        <v>Issued</v>
      </c>
    </row>
    <row r="363">
      <c r="A363" s="3" t="s">
        <v>400</v>
      </c>
      <c r="B363" s="4">
        <v>46211.0</v>
      </c>
      <c r="C363" s="3" t="s">
        <v>10</v>
      </c>
      <c r="D363" s="3" t="s">
        <v>11</v>
      </c>
      <c r="E363" s="3" t="s">
        <v>21</v>
      </c>
      <c r="F363" s="3">
        <v>1571000.0</v>
      </c>
      <c r="G363" s="3">
        <v>1806649.9999999998</v>
      </c>
      <c r="H363" s="3" t="str">
        <f t="shared" si="1"/>
        <v>Over Buffer</v>
      </c>
      <c r="I363" s="3" t="str">
        <f t="shared" si="2"/>
        <v>Refund</v>
      </c>
    </row>
    <row r="364">
      <c r="A364" s="3" t="s">
        <v>401</v>
      </c>
      <c r="B364" s="4">
        <v>46034.0</v>
      </c>
      <c r="C364" s="3" t="s">
        <v>25</v>
      </c>
      <c r="D364" s="3" t="s">
        <v>15</v>
      </c>
      <c r="E364" s="3" t="s">
        <v>116</v>
      </c>
      <c r="F364" s="3">
        <v>1785000.0</v>
      </c>
      <c r="G364" s="3">
        <v>2499000.0</v>
      </c>
      <c r="H364" s="3" t="str">
        <f t="shared" si="1"/>
        <v>Fare Increase</v>
      </c>
      <c r="I364" s="3" t="str">
        <f t="shared" si="2"/>
        <v>Issued</v>
      </c>
    </row>
    <row r="365">
      <c r="A365" s="3" t="s">
        <v>402</v>
      </c>
      <c r="B365" s="4">
        <v>46046.0</v>
      </c>
      <c r="C365" s="3" t="s">
        <v>30</v>
      </c>
      <c r="D365" s="3" t="s">
        <v>15</v>
      </c>
      <c r="E365" s="3" t="s">
        <v>116</v>
      </c>
      <c r="F365" s="3">
        <v>565000.0</v>
      </c>
      <c r="G365" s="3">
        <v>791000.0</v>
      </c>
      <c r="H365" s="3" t="str">
        <f t="shared" si="1"/>
        <v>Normal</v>
      </c>
      <c r="I365" s="3" t="str">
        <f t="shared" si="2"/>
        <v>Issued</v>
      </c>
    </row>
    <row r="366">
      <c r="A366" s="3" t="s">
        <v>403</v>
      </c>
      <c r="B366" s="4">
        <v>46188.0</v>
      </c>
      <c r="C366" s="3" t="s">
        <v>18</v>
      </c>
      <c r="D366" s="3" t="s">
        <v>11</v>
      </c>
      <c r="E366" s="3" t="s">
        <v>21</v>
      </c>
      <c r="F366" s="3">
        <v>1662000.0</v>
      </c>
      <c r="G366" s="3">
        <v>1578900.0</v>
      </c>
      <c r="H366" s="3" t="str">
        <f t="shared" si="1"/>
        <v>Over Buffer</v>
      </c>
      <c r="I366" s="3" t="str">
        <f t="shared" si="2"/>
        <v>Refund</v>
      </c>
    </row>
    <row r="367">
      <c r="A367" s="3" t="s">
        <v>404</v>
      </c>
      <c r="B367" s="4">
        <v>46041.0</v>
      </c>
      <c r="C367" s="3" t="s">
        <v>14</v>
      </c>
      <c r="D367" s="3" t="s">
        <v>15</v>
      </c>
      <c r="E367" s="3" t="s">
        <v>16</v>
      </c>
      <c r="F367" s="3">
        <v>1.4566E7</v>
      </c>
      <c r="G367" s="3">
        <v>3.6415E7</v>
      </c>
      <c r="H367" s="3" t="str">
        <f t="shared" si="1"/>
        <v>Normal</v>
      </c>
      <c r="I367" s="3" t="str">
        <f t="shared" si="2"/>
        <v>Issued</v>
      </c>
    </row>
    <row r="368">
      <c r="A368" s="3" t="s">
        <v>405</v>
      </c>
      <c r="B368" s="4">
        <v>46335.0</v>
      </c>
      <c r="C368" s="3" t="s">
        <v>14</v>
      </c>
      <c r="D368" s="3" t="s">
        <v>15</v>
      </c>
      <c r="E368" s="3" t="s">
        <v>63</v>
      </c>
      <c r="F368" s="3">
        <v>1.4355E7</v>
      </c>
      <c r="G368" s="3">
        <v>2.0097E7</v>
      </c>
      <c r="H368" s="3" t="str">
        <f t="shared" si="1"/>
        <v>Fare Increase</v>
      </c>
      <c r="I368" s="3" t="str">
        <f t="shared" si="2"/>
        <v>Issued</v>
      </c>
    </row>
    <row r="369">
      <c r="A369" s="3" t="s">
        <v>406</v>
      </c>
      <c r="B369" s="4">
        <v>46270.0</v>
      </c>
      <c r="C369" s="3" t="s">
        <v>25</v>
      </c>
      <c r="D369" s="3" t="s">
        <v>15</v>
      </c>
      <c r="E369" s="3" t="s">
        <v>42</v>
      </c>
      <c r="F369" s="3">
        <v>6779000.0</v>
      </c>
      <c r="G369" s="3">
        <v>6440050.0</v>
      </c>
      <c r="H369" s="3" t="str">
        <f t="shared" si="1"/>
        <v>Fare Increase</v>
      </c>
      <c r="I369" s="3" t="str">
        <f t="shared" si="2"/>
        <v>Issued</v>
      </c>
    </row>
    <row r="370">
      <c r="A370" s="3" t="s">
        <v>407</v>
      </c>
      <c r="B370" s="4">
        <v>46261.0</v>
      </c>
      <c r="C370" s="3" t="s">
        <v>14</v>
      </c>
      <c r="D370" s="3" t="s">
        <v>15</v>
      </c>
      <c r="E370" s="3" t="s">
        <v>16</v>
      </c>
      <c r="F370" s="3">
        <v>1735000.0</v>
      </c>
      <c r="G370" s="3">
        <v>1648250.0</v>
      </c>
      <c r="H370" s="3" t="str">
        <f t="shared" si="1"/>
        <v>Fare Increase</v>
      </c>
      <c r="I370" s="3" t="str">
        <f t="shared" si="2"/>
        <v>Issued</v>
      </c>
    </row>
    <row r="371">
      <c r="A371" s="3" t="s">
        <v>408</v>
      </c>
      <c r="B371" s="4">
        <v>46125.0</v>
      </c>
      <c r="C371" s="3" t="s">
        <v>10</v>
      </c>
      <c r="D371" s="3" t="s">
        <v>11</v>
      </c>
      <c r="E371" s="3" t="s">
        <v>19</v>
      </c>
      <c r="F371" s="3">
        <v>1221000.0</v>
      </c>
      <c r="G371" s="3">
        <v>3052500.0</v>
      </c>
      <c r="H371" s="3" t="str">
        <f t="shared" si="1"/>
        <v>Fare Increase</v>
      </c>
      <c r="I371" s="3" t="str">
        <f t="shared" si="2"/>
        <v>Issued</v>
      </c>
    </row>
    <row r="372">
      <c r="A372" s="3" t="s">
        <v>409</v>
      </c>
      <c r="B372" s="4">
        <v>46291.0</v>
      </c>
      <c r="C372" s="3" t="s">
        <v>10</v>
      </c>
      <c r="D372" s="3" t="s">
        <v>11</v>
      </c>
      <c r="E372" s="3" t="s">
        <v>19</v>
      </c>
      <c r="F372" s="3">
        <v>570000.0</v>
      </c>
      <c r="G372" s="3">
        <v>541500.0</v>
      </c>
      <c r="H372" s="3" t="str">
        <f t="shared" si="1"/>
        <v>Fare Increase</v>
      </c>
      <c r="I372" s="3" t="str">
        <f t="shared" si="2"/>
        <v>Issued</v>
      </c>
    </row>
    <row r="373">
      <c r="A373" s="3" t="s">
        <v>410</v>
      </c>
      <c r="B373" s="4">
        <v>46167.0</v>
      </c>
      <c r="C373" s="3" t="s">
        <v>14</v>
      </c>
      <c r="D373" s="3" t="s">
        <v>15</v>
      </c>
      <c r="E373" s="3" t="s">
        <v>63</v>
      </c>
      <c r="F373" s="3">
        <v>1062000.0</v>
      </c>
      <c r="G373" s="3">
        <v>2655000.0</v>
      </c>
      <c r="H373" s="3" t="str">
        <f t="shared" si="1"/>
        <v>Normal</v>
      </c>
      <c r="I373" s="3" t="str">
        <f t="shared" si="2"/>
        <v>Issued</v>
      </c>
    </row>
    <row r="374">
      <c r="A374" s="3" t="s">
        <v>411</v>
      </c>
      <c r="B374" s="4">
        <v>46352.0</v>
      </c>
      <c r="C374" s="3" t="s">
        <v>25</v>
      </c>
      <c r="D374" s="3" t="s">
        <v>15</v>
      </c>
      <c r="E374" s="3" t="s">
        <v>42</v>
      </c>
      <c r="F374" s="3">
        <v>1317000.0</v>
      </c>
      <c r="G374" s="3">
        <v>1514549.9999999998</v>
      </c>
      <c r="H374" s="3" t="str">
        <f t="shared" si="1"/>
        <v>Fare Increase</v>
      </c>
      <c r="I374" s="3" t="str">
        <f t="shared" si="2"/>
        <v>Issued</v>
      </c>
    </row>
    <row r="375">
      <c r="A375" s="3" t="s">
        <v>412</v>
      </c>
      <c r="B375" s="4">
        <v>46378.0</v>
      </c>
      <c r="C375" s="3" t="s">
        <v>14</v>
      </c>
      <c r="D375" s="3" t="s">
        <v>15</v>
      </c>
      <c r="E375" s="3" t="s">
        <v>37</v>
      </c>
      <c r="F375" s="3">
        <v>5221000.0</v>
      </c>
      <c r="G375" s="3">
        <v>1.30525E7</v>
      </c>
      <c r="H375" s="3" t="str">
        <f t="shared" si="1"/>
        <v>Fare Increase</v>
      </c>
      <c r="I375" s="3" t="str">
        <f t="shared" si="2"/>
        <v>Issued</v>
      </c>
    </row>
    <row r="376">
      <c r="A376" s="3" t="s">
        <v>413</v>
      </c>
      <c r="B376" s="4">
        <v>46252.0</v>
      </c>
      <c r="C376" s="3" t="s">
        <v>30</v>
      </c>
      <c r="D376" s="3" t="s">
        <v>15</v>
      </c>
      <c r="E376" s="3" t="s">
        <v>268</v>
      </c>
      <c r="F376" s="3">
        <v>9981000.0</v>
      </c>
      <c r="G376" s="3">
        <v>2.49525E7</v>
      </c>
      <c r="H376" s="3" t="str">
        <f t="shared" si="1"/>
        <v>Over Buffer</v>
      </c>
      <c r="I376" s="3" t="str">
        <f t="shared" si="2"/>
        <v>Refund</v>
      </c>
    </row>
    <row r="377">
      <c r="A377" s="3" t="s">
        <v>414</v>
      </c>
      <c r="B377" s="4">
        <v>46299.0</v>
      </c>
      <c r="C377" s="3" t="s">
        <v>10</v>
      </c>
      <c r="D377" s="3" t="s">
        <v>11</v>
      </c>
      <c r="E377" s="3" t="s">
        <v>35</v>
      </c>
      <c r="F377" s="3">
        <v>947000.0</v>
      </c>
      <c r="G377" s="3">
        <v>1325800.0</v>
      </c>
      <c r="H377" s="3" t="str">
        <f t="shared" si="1"/>
        <v>Over Buffer</v>
      </c>
      <c r="I377" s="3" t="str">
        <f t="shared" si="2"/>
        <v>Refund</v>
      </c>
    </row>
    <row r="378">
      <c r="A378" s="3" t="s">
        <v>415</v>
      </c>
      <c r="B378" s="4">
        <v>46296.0</v>
      </c>
      <c r="C378" s="3" t="s">
        <v>23</v>
      </c>
      <c r="D378" s="3" t="s">
        <v>15</v>
      </c>
      <c r="E378" s="3" t="s">
        <v>19</v>
      </c>
      <c r="F378" s="3">
        <v>1578000.0</v>
      </c>
      <c r="G378" s="3">
        <v>2209200.0</v>
      </c>
      <c r="H378" s="3" t="str">
        <f t="shared" si="1"/>
        <v>Fare Increase</v>
      </c>
      <c r="I378" s="3" t="str">
        <f t="shared" si="2"/>
        <v>Issued</v>
      </c>
    </row>
    <row r="379">
      <c r="A379" s="3" t="s">
        <v>416</v>
      </c>
      <c r="B379" s="4">
        <v>46333.0</v>
      </c>
      <c r="C379" s="3" t="s">
        <v>18</v>
      </c>
      <c r="D379" s="3" t="s">
        <v>11</v>
      </c>
      <c r="E379" s="3" t="s">
        <v>21</v>
      </c>
      <c r="F379" s="3">
        <v>1232000.0</v>
      </c>
      <c r="G379" s="3">
        <v>1170400.0</v>
      </c>
      <c r="H379" s="3" t="str">
        <f t="shared" si="1"/>
        <v>Fare Increase</v>
      </c>
      <c r="I379" s="3" t="str">
        <f t="shared" si="2"/>
        <v>Issued</v>
      </c>
    </row>
    <row r="380">
      <c r="A380" s="3" t="s">
        <v>417</v>
      </c>
      <c r="B380" s="4">
        <v>46192.0</v>
      </c>
      <c r="C380" s="3" t="s">
        <v>14</v>
      </c>
      <c r="D380" s="3" t="s">
        <v>15</v>
      </c>
      <c r="E380" s="3" t="s">
        <v>16</v>
      </c>
      <c r="F380" s="3">
        <v>1097000.0</v>
      </c>
      <c r="G380" s="3">
        <v>1261550.0</v>
      </c>
      <c r="H380" s="3" t="str">
        <f t="shared" si="1"/>
        <v>Normal</v>
      </c>
      <c r="I380" s="3" t="str">
        <f t="shared" si="2"/>
        <v>Issued</v>
      </c>
    </row>
    <row r="381">
      <c r="A381" s="3" t="s">
        <v>418</v>
      </c>
      <c r="B381" s="4">
        <v>46129.0</v>
      </c>
      <c r="C381" s="3" t="s">
        <v>25</v>
      </c>
      <c r="D381" s="3" t="s">
        <v>15</v>
      </c>
      <c r="E381" s="3" t="s">
        <v>61</v>
      </c>
      <c r="F381" s="3">
        <v>1.0481E7</v>
      </c>
      <c r="G381" s="3">
        <v>9956950.0</v>
      </c>
      <c r="H381" s="3" t="str">
        <f t="shared" si="1"/>
        <v>Over Buffer</v>
      </c>
      <c r="I381" s="3" t="str">
        <f t="shared" si="2"/>
        <v>Refund</v>
      </c>
    </row>
    <row r="382">
      <c r="A382" s="3" t="s">
        <v>419</v>
      </c>
      <c r="B382" s="4">
        <v>46313.0</v>
      </c>
      <c r="C382" s="3" t="s">
        <v>14</v>
      </c>
      <c r="D382" s="3" t="s">
        <v>15</v>
      </c>
      <c r="E382" s="3" t="s">
        <v>16</v>
      </c>
      <c r="F382" s="3">
        <v>905000.0</v>
      </c>
      <c r="G382" s="3">
        <v>2262500.0</v>
      </c>
      <c r="H382" s="3" t="str">
        <f t="shared" si="1"/>
        <v>Fare Increase</v>
      </c>
      <c r="I382" s="3" t="str">
        <f t="shared" si="2"/>
        <v>Issued</v>
      </c>
    </row>
    <row r="383">
      <c r="A383" s="3" t="s">
        <v>420</v>
      </c>
      <c r="B383" s="4">
        <v>46148.0</v>
      </c>
      <c r="C383" s="3" t="s">
        <v>30</v>
      </c>
      <c r="D383" s="3" t="s">
        <v>15</v>
      </c>
      <c r="E383" s="3" t="s">
        <v>421</v>
      </c>
      <c r="F383" s="3">
        <v>1872000.0</v>
      </c>
      <c r="G383" s="3">
        <v>2620800.0</v>
      </c>
      <c r="H383" s="3" t="str">
        <f t="shared" si="1"/>
        <v>Normal</v>
      </c>
      <c r="I383" s="3" t="str">
        <f t="shared" si="2"/>
        <v>Issued</v>
      </c>
    </row>
    <row r="384">
      <c r="A384" s="3" t="s">
        <v>422</v>
      </c>
      <c r="B384" s="4">
        <v>46318.0</v>
      </c>
      <c r="C384" s="3" t="s">
        <v>14</v>
      </c>
      <c r="D384" s="3" t="s">
        <v>15</v>
      </c>
      <c r="E384" s="3" t="s">
        <v>37</v>
      </c>
      <c r="F384" s="3">
        <v>732000.0</v>
      </c>
      <c r="G384" s="3">
        <v>695400.0</v>
      </c>
      <c r="H384" s="3" t="str">
        <f t="shared" si="1"/>
        <v>Normal</v>
      </c>
      <c r="I384" s="3" t="str">
        <f t="shared" si="2"/>
        <v>Issued</v>
      </c>
    </row>
    <row r="385">
      <c r="A385" s="3" t="s">
        <v>423</v>
      </c>
      <c r="B385" s="4">
        <v>46342.0</v>
      </c>
      <c r="C385" s="3" t="s">
        <v>23</v>
      </c>
      <c r="D385" s="3" t="s">
        <v>15</v>
      </c>
      <c r="E385" s="3" t="s">
        <v>31</v>
      </c>
      <c r="F385" s="3">
        <v>475000.0</v>
      </c>
      <c r="G385" s="3">
        <v>665000.0</v>
      </c>
      <c r="H385" s="3" t="str">
        <f t="shared" si="1"/>
        <v>Normal</v>
      </c>
      <c r="I385" s="3" t="str">
        <f t="shared" si="2"/>
        <v>Issued</v>
      </c>
    </row>
    <row r="386">
      <c r="A386" s="3" t="s">
        <v>424</v>
      </c>
      <c r="B386" s="4">
        <v>46121.0</v>
      </c>
      <c r="C386" s="3" t="s">
        <v>18</v>
      </c>
      <c r="D386" s="3" t="s">
        <v>11</v>
      </c>
      <c r="E386" s="3" t="s">
        <v>19</v>
      </c>
      <c r="F386" s="3">
        <v>650000.0</v>
      </c>
      <c r="G386" s="3">
        <v>1625000.0</v>
      </c>
      <c r="H386" s="3" t="str">
        <f t="shared" si="1"/>
        <v>Normal</v>
      </c>
      <c r="I386" s="3" t="str">
        <f t="shared" si="2"/>
        <v>Issued</v>
      </c>
    </row>
    <row r="387">
      <c r="A387" s="3" t="s">
        <v>425</v>
      </c>
      <c r="B387" s="4">
        <v>46297.0</v>
      </c>
      <c r="C387" s="3" t="s">
        <v>10</v>
      </c>
      <c r="D387" s="3" t="s">
        <v>11</v>
      </c>
      <c r="E387" s="3" t="s">
        <v>35</v>
      </c>
      <c r="F387" s="3">
        <v>2324000.0</v>
      </c>
      <c r="G387" s="3">
        <v>2672600.0</v>
      </c>
      <c r="H387" s="3" t="str">
        <f t="shared" si="1"/>
        <v>Over Buffer</v>
      </c>
      <c r="I387" s="3" t="str">
        <f t="shared" si="2"/>
        <v>Refund</v>
      </c>
    </row>
    <row r="388">
      <c r="A388" s="3" t="s">
        <v>426</v>
      </c>
      <c r="B388" s="4">
        <v>46057.0</v>
      </c>
      <c r="C388" s="3" t="s">
        <v>30</v>
      </c>
      <c r="D388" s="3" t="s">
        <v>15</v>
      </c>
      <c r="E388" s="3" t="s">
        <v>49</v>
      </c>
      <c r="F388" s="3">
        <v>1.2803E7</v>
      </c>
      <c r="G388" s="3">
        <v>1.79242E7</v>
      </c>
      <c r="H388" s="3" t="str">
        <f t="shared" si="1"/>
        <v>Fare Increase</v>
      </c>
      <c r="I388" s="3" t="str">
        <f t="shared" si="2"/>
        <v>Issued</v>
      </c>
    </row>
    <row r="389">
      <c r="A389" s="3" t="s">
        <v>427</v>
      </c>
      <c r="B389" s="4">
        <v>46281.0</v>
      </c>
      <c r="C389" s="3" t="s">
        <v>30</v>
      </c>
      <c r="D389" s="3" t="s">
        <v>15</v>
      </c>
      <c r="E389" s="3" t="s">
        <v>33</v>
      </c>
      <c r="F389" s="3">
        <v>560000.0</v>
      </c>
      <c r="G389" s="3">
        <v>1400000.0</v>
      </c>
      <c r="H389" s="3" t="str">
        <f t="shared" si="1"/>
        <v>Fare Increase</v>
      </c>
      <c r="I389" s="3" t="str">
        <f t="shared" si="2"/>
        <v>Issued</v>
      </c>
    </row>
    <row r="390">
      <c r="A390" s="3" t="s">
        <v>428</v>
      </c>
      <c r="B390" s="4">
        <v>46229.0</v>
      </c>
      <c r="C390" s="3" t="s">
        <v>14</v>
      </c>
      <c r="D390" s="3" t="s">
        <v>15</v>
      </c>
      <c r="E390" s="3" t="s">
        <v>16</v>
      </c>
      <c r="F390" s="3">
        <v>1207000.0</v>
      </c>
      <c r="G390" s="3">
        <v>1388050.0</v>
      </c>
      <c r="H390" s="3" t="str">
        <f t="shared" si="1"/>
        <v>Normal</v>
      </c>
      <c r="I390" s="3" t="str">
        <f t="shared" si="2"/>
        <v>Issued</v>
      </c>
    </row>
    <row r="391">
      <c r="A391" s="3" t="s">
        <v>429</v>
      </c>
      <c r="B391" s="4">
        <v>46215.0</v>
      </c>
      <c r="C391" s="3" t="s">
        <v>23</v>
      </c>
      <c r="D391" s="3" t="s">
        <v>15</v>
      </c>
      <c r="E391" s="3" t="s">
        <v>31</v>
      </c>
      <c r="F391" s="3">
        <v>1218000.0</v>
      </c>
      <c r="G391" s="3">
        <v>1157100.0</v>
      </c>
      <c r="H391" s="3" t="str">
        <f t="shared" si="1"/>
        <v>Normal</v>
      </c>
      <c r="I391" s="3" t="str">
        <f t="shared" si="2"/>
        <v>Issued</v>
      </c>
    </row>
    <row r="392">
      <c r="A392" s="3" t="s">
        <v>430</v>
      </c>
      <c r="B392" s="4">
        <v>46181.0</v>
      </c>
      <c r="C392" s="3" t="s">
        <v>25</v>
      </c>
      <c r="D392" s="3" t="s">
        <v>15</v>
      </c>
      <c r="E392" s="3" t="s">
        <v>116</v>
      </c>
      <c r="F392" s="3">
        <v>1107000.0</v>
      </c>
      <c r="G392" s="3">
        <v>2767500.0</v>
      </c>
      <c r="H392" s="3" t="str">
        <f t="shared" si="1"/>
        <v>Over Buffer</v>
      </c>
      <c r="I392" s="3" t="str">
        <f t="shared" si="2"/>
        <v>Refund</v>
      </c>
    </row>
    <row r="393">
      <c r="A393" s="3" t="s">
        <v>431</v>
      </c>
      <c r="B393" s="4">
        <v>46379.0</v>
      </c>
      <c r="C393" s="3" t="s">
        <v>10</v>
      </c>
      <c r="D393" s="3" t="s">
        <v>11</v>
      </c>
      <c r="E393" s="3" t="s">
        <v>35</v>
      </c>
      <c r="F393" s="3">
        <v>984000.0</v>
      </c>
      <c r="G393" s="3">
        <v>934800.0</v>
      </c>
      <c r="H393" s="3" t="str">
        <f t="shared" si="1"/>
        <v>Normal</v>
      </c>
      <c r="I393" s="3" t="str">
        <f t="shared" si="2"/>
        <v>Issued</v>
      </c>
    </row>
    <row r="394">
      <c r="A394" s="3" t="s">
        <v>432</v>
      </c>
      <c r="B394" s="4">
        <v>46302.0</v>
      </c>
      <c r="C394" s="3" t="s">
        <v>10</v>
      </c>
      <c r="D394" s="3" t="s">
        <v>11</v>
      </c>
      <c r="E394" s="3" t="s">
        <v>63</v>
      </c>
      <c r="F394" s="3">
        <v>1.1537E7</v>
      </c>
      <c r="G394" s="3">
        <v>1.6151799999999998E7</v>
      </c>
      <c r="H394" s="3" t="str">
        <f t="shared" si="1"/>
        <v>Fare Increase</v>
      </c>
      <c r="I394" s="3" t="str">
        <f t="shared" si="2"/>
        <v>Issued</v>
      </c>
    </row>
    <row r="395">
      <c r="A395" s="3" t="s">
        <v>433</v>
      </c>
      <c r="B395" s="4">
        <v>46369.0</v>
      </c>
      <c r="C395" s="3" t="s">
        <v>18</v>
      </c>
      <c r="D395" s="3" t="s">
        <v>11</v>
      </c>
      <c r="E395" s="3" t="s">
        <v>19</v>
      </c>
      <c r="F395" s="3">
        <v>1268000.0</v>
      </c>
      <c r="G395" s="3">
        <v>1775200.0</v>
      </c>
      <c r="H395" s="3" t="str">
        <f t="shared" si="1"/>
        <v>Over Buffer</v>
      </c>
      <c r="I395" s="3" t="str">
        <f t="shared" si="2"/>
        <v>Refund</v>
      </c>
    </row>
    <row r="396">
      <c r="A396" s="3" t="s">
        <v>434</v>
      </c>
      <c r="B396" s="4">
        <v>46167.0</v>
      </c>
      <c r="C396" s="3" t="s">
        <v>23</v>
      </c>
      <c r="D396" s="3" t="s">
        <v>15</v>
      </c>
      <c r="E396" s="3" t="s">
        <v>19</v>
      </c>
      <c r="F396" s="3">
        <v>820000.0</v>
      </c>
      <c r="G396" s="3">
        <v>1148000.0</v>
      </c>
      <c r="H396" s="3" t="str">
        <f t="shared" si="1"/>
        <v>Over Buffer</v>
      </c>
      <c r="I396" s="3" t="str">
        <f t="shared" si="2"/>
        <v>Refund</v>
      </c>
    </row>
    <row r="397">
      <c r="A397" s="3" t="s">
        <v>435</v>
      </c>
      <c r="B397" s="4">
        <v>46252.0</v>
      </c>
      <c r="C397" s="3" t="s">
        <v>23</v>
      </c>
      <c r="D397" s="3" t="s">
        <v>15</v>
      </c>
      <c r="E397" s="3" t="s">
        <v>33</v>
      </c>
      <c r="F397" s="3">
        <v>1166000.0</v>
      </c>
      <c r="G397" s="3">
        <v>1632400.0</v>
      </c>
      <c r="H397" s="3" t="str">
        <f t="shared" si="1"/>
        <v>Normal</v>
      </c>
      <c r="I397" s="3" t="str">
        <f t="shared" si="2"/>
        <v>Issued</v>
      </c>
    </row>
    <row r="398">
      <c r="A398" s="3" t="s">
        <v>436</v>
      </c>
      <c r="B398" s="4">
        <v>46381.0</v>
      </c>
      <c r="C398" s="3" t="s">
        <v>14</v>
      </c>
      <c r="D398" s="3" t="s">
        <v>15</v>
      </c>
      <c r="E398" s="3" t="s">
        <v>63</v>
      </c>
      <c r="F398" s="3">
        <v>1499000.0</v>
      </c>
      <c r="G398" s="3">
        <v>1723849.9999999998</v>
      </c>
      <c r="H398" s="3" t="str">
        <f t="shared" si="1"/>
        <v>Fare Increase</v>
      </c>
      <c r="I398" s="3" t="str">
        <f t="shared" si="2"/>
        <v>Issued</v>
      </c>
    </row>
    <row r="399">
      <c r="A399" s="3" t="s">
        <v>437</v>
      </c>
      <c r="B399" s="4">
        <v>46138.0</v>
      </c>
      <c r="C399" s="3" t="s">
        <v>25</v>
      </c>
      <c r="D399" s="3" t="s">
        <v>15</v>
      </c>
      <c r="E399" s="3" t="s">
        <v>42</v>
      </c>
      <c r="F399" s="3">
        <v>1.4865E7</v>
      </c>
      <c r="G399" s="3">
        <v>1.412175E7</v>
      </c>
      <c r="H399" s="3" t="str">
        <f t="shared" si="1"/>
        <v>Over Buffer</v>
      </c>
      <c r="I399" s="3" t="str">
        <f t="shared" si="2"/>
        <v>Refund</v>
      </c>
    </row>
    <row r="400">
      <c r="A400" s="3" t="s">
        <v>438</v>
      </c>
      <c r="B400" s="4">
        <v>46248.0</v>
      </c>
      <c r="C400" s="3" t="s">
        <v>30</v>
      </c>
      <c r="D400" s="3" t="s">
        <v>15</v>
      </c>
      <c r="E400" s="3" t="s">
        <v>116</v>
      </c>
      <c r="F400" s="3">
        <v>989000.0</v>
      </c>
      <c r="G400" s="3">
        <v>1137350.0</v>
      </c>
      <c r="H400" s="3" t="str">
        <f t="shared" si="1"/>
        <v>Fare Increase</v>
      </c>
      <c r="I400" s="3" t="str">
        <f t="shared" si="2"/>
        <v>Issued</v>
      </c>
    </row>
    <row r="401">
      <c r="A401" s="3" t="s">
        <v>439</v>
      </c>
      <c r="B401" s="4">
        <v>46208.0</v>
      </c>
      <c r="C401" s="3" t="s">
        <v>18</v>
      </c>
      <c r="D401" s="3" t="s">
        <v>11</v>
      </c>
      <c r="E401" s="3" t="s">
        <v>35</v>
      </c>
      <c r="F401" s="3">
        <v>4664000.0</v>
      </c>
      <c r="G401" s="3">
        <v>6529600.0</v>
      </c>
      <c r="H401" s="3" t="str">
        <f t="shared" si="1"/>
        <v>Fare Increase</v>
      </c>
      <c r="I401" s="3" t="str">
        <f t="shared" si="2"/>
        <v>Issued</v>
      </c>
    </row>
    <row r="402">
      <c r="A402" s="3" t="s">
        <v>440</v>
      </c>
      <c r="B402" s="4">
        <v>46331.0</v>
      </c>
      <c r="C402" s="3" t="s">
        <v>18</v>
      </c>
      <c r="D402" s="3" t="s">
        <v>11</v>
      </c>
      <c r="E402" s="3" t="s">
        <v>12</v>
      </c>
      <c r="F402" s="3">
        <v>584000.0</v>
      </c>
      <c r="G402" s="3">
        <v>1460000.0</v>
      </c>
      <c r="H402" s="3" t="str">
        <f t="shared" si="1"/>
        <v>Fare Increase</v>
      </c>
      <c r="I402" s="3" t="str">
        <f t="shared" si="2"/>
        <v>Issued</v>
      </c>
    </row>
    <row r="403">
      <c r="A403" s="3" t="s">
        <v>441</v>
      </c>
      <c r="B403" s="4">
        <v>46066.0</v>
      </c>
      <c r="C403" s="3" t="s">
        <v>14</v>
      </c>
      <c r="D403" s="3" t="s">
        <v>15</v>
      </c>
      <c r="E403" s="3" t="s">
        <v>63</v>
      </c>
      <c r="F403" s="3">
        <v>1408000.0</v>
      </c>
      <c r="G403" s="3">
        <v>3520000.0</v>
      </c>
      <c r="H403" s="3" t="str">
        <f t="shared" si="1"/>
        <v>Normal</v>
      </c>
      <c r="I403" s="3" t="str">
        <f t="shared" si="2"/>
        <v>Issued</v>
      </c>
    </row>
    <row r="404">
      <c r="A404" s="3" t="s">
        <v>442</v>
      </c>
      <c r="B404" s="4">
        <v>46113.0</v>
      </c>
      <c r="C404" s="3" t="s">
        <v>14</v>
      </c>
      <c r="D404" s="3" t="s">
        <v>15</v>
      </c>
      <c r="E404" s="3" t="s">
        <v>37</v>
      </c>
      <c r="F404" s="3">
        <v>2698000.0</v>
      </c>
      <c r="G404" s="3">
        <v>3777199.9999999995</v>
      </c>
      <c r="H404" s="3" t="str">
        <f t="shared" si="1"/>
        <v>Fare Increase</v>
      </c>
      <c r="I404" s="3" t="str">
        <f t="shared" si="2"/>
        <v>Issued</v>
      </c>
    </row>
    <row r="405">
      <c r="A405" s="3" t="s">
        <v>443</v>
      </c>
      <c r="B405" s="4">
        <v>46136.0</v>
      </c>
      <c r="C405" s="3" t="s">
        <v>14</v>
      </c>
      <c r="D405" s="3" t="s">
        <v>15</v>
      </c>
      <c r="E405" s="3" t="s">
        <v>16</v>
      </c>
      <c r="F405" s="3">
        <v>964000.0</v>
      </c>
      <c r="G405" s="3">
        <v>1108600.0</v>
      </c>
      <c r="H405" s="3" t="str">
        <f t="shared" si="1"/>
        <v>Over Buffer</v>
      </c>
      <c r="I405" s="3" t="str">
        <f t="shared" si="2"/>
        <v>Refund</v>
      </c>
    </row>
    <row r="406">
      <c r="A406" s="3" t="s">
        <v>444</v>
      </c>
      <c r="B406" s="4">
        <v>46163.0</v>
      </c>
      <c r="C406" s="3" t="s">
        <v>14</v>
      </c>
      <c r="D406" s="3" t="s">
        <v>15</v>
      </c>
      <c r="E406" s="3" t="s">
        <v>63</v>
      </c>
      <c r="F406" s="3">
        <v>1.4968E7</v>
      </c>
      <c r="G406" s="3">
        <v>1.42196E7</v>
      </c>
      <c r="H406" s="3" t="str">
        <f t="shared" si="1"/>
        <v>Fare Increase</v>
      </c>
      <c r="I406" s="3" t="str">
        <f t="shared" si="2"/>
        <v>Issued</v>
      </c>
    </row>
    <row r="407">
      <c r="A407" s="3" t="s">
        <v>445</v>
      </c>
      <c r="B407" s="4">
        <v>46380.0</v>
      </c>
      <c r="C407" s="3" t="s">
        <v>10</v>
      </c>
      <c r="D407" s="3" t="s">
        <v>11</v>
      </c>
      <c r="E407" s="3" t="s">
        <v>19</v>
      </c>
      <c r="F407" s="3">
        <v>3520000.0</v>
      </c>
      <c r="G407" s="3">
        <v>8800000.0</v>
      </c>
      <c r="H407" s="3" t="str">
        <f t="shared" si="1"/>
        <v>Fare Increase</v>
      </c>
      <c r="I407" s="3" t="str">
        <f t="shared" si="2"/>
        <v>Issued</v>
      </c>
    </row>
    <row r="408">
      <c r="A408" s="3" t="s">
        <v>446</v>
      </c>
      <c r="B408" s="4">
        <v>46168.0</v>
      </c>
      <c r="C408" s="3" t="s">
        <v>25</v>
      </c>
      <c r="D408" s="3" t="s">
        <v>15</v>
      </c>
      <c r="E408" s="3" t="s">
        <v>42</v>
      </c>
      <c r="F408" s="3">
        <v>1638000.0</v>
      </c>
      <c r="G408" s="3">
        <v>2293200.0</v>
      </c>
      <c r="H408" s="3" t="str">
        <f t="shared" si="1"/>
        <v>Fare Increase</v>
      </c>
      <c r="I408" s="3" t="str">
        <f t="shared" si="2"/>
        <v>Issued</v>
      </c>
    </row>
    <row r="409">
      <c r="A409" s="3" t="s">
        <v>447</v>
      </c>
      <c r="B409" s="4">
        <v>46197.0</v>
      </c>
      <c r="C409" s="3" t="s">
        <v>10</v>
      </c>
      <c r="D409" s="3" t="s">
        <v>11</v>
      </c>
      <c r="E409" s="3" t="s">
        <v>19</v>
      </c>
      <c r="F409" s="3">
        <v>1720000.0</v>
      </c>
      <c r="G409" s="3">
        <v>1634000.0</v>
      </c>
      <c r="H409" s="3" t="str">
        <f t="shared" si="1"/>
        <v>Fare Increase</v>
      </c>
      <c r="I409" s="3" t="str">
        <f t="shared" si="2"/>
        <v>Issued</v>
      </c>
    </row>
    <row r="410">
      <c r="A410" s="3" t="s">
        <v>448</v>
      </c>
      <c r="B410" s="4">
        <v>46271.0</v>
      </c>
      <c r="C410" s="3" t="s">
        <v>25</v>
      </c>
      <c r="D410" s="3" t="s">
        <v>15</v>
      </c>
      <c r="E410" s="3" t="s">
        <v>61</v>
      </c>
      <c r="F410" s="3">
        <v>530000.0</v>
      </c>
      <c r="G410" s="3">
        <v>503500.0</v>
      </c>
      <c r="H410" s="3" t="str">
        <f t="shared" si="1"/>
        <v>Fare Increase</v>
      </c>
      <c r="I410" s="3" t="str">
        <f t="shared" si="2"/>
        <v>Issued</v>
      </c>
    </row>
    <row r="411">
      <c r="A411" s="3" t="s">
        <v>449</v>
      </c>
      <c r="B411" s="4">
        <v>46029.0</v>
      </c>
      <c r="C411" s="3" t="s">
        <v>14</v>
      </c>
      <c r="D411" s="3" t="s">
        <v>15</v>
      </c>
      <c r="E411" s="3" t="s">
        <v>63</v>
      </c>
      <c r="F411" s="3">
        <v>3805000.0</v>
      </c>
      <c r="G411" s="3">
        <v>3614750.0</v>
      </c>
      <c r="H411" s="3" t="str">
        <f t="shared" si="1"/>
        <v>Over Buffer</v>
      </c>
      <c r="I411" s="3" t="str">
        <f t="shared" si="2"/>
        <v>Refund</v>
      </c>
    </row>
    <row r="412">
      <c r="A412" s="3" t="s">
        <v>450</v>
      </c>
      <c r="B412" s="4">
        <v>46288.0</v>
      </c>
      <c r="C412" s="3" t="s">
        <v>14</v>
      </c>
      <c r="D412" s="3" t="s">
        <v>15</v>
      </c>
      <c r="E412" s="3" t="s">
        <v>37</v>
      </c>
      <c r="F412" s="3">
        <v>1513000.0</v>
      </c>
      <c r="G412" s="3">
        <v>1437350.0</v>
      </c>
      <c r="H412" s="3" t="str">
        <f t="shared" si="1"/>
        <v>Fare Increase</v>
      </c>
      <c r="I412" s="3" t="str">
        <f t="shared" si="2"/>
        <v>Issued</v>
      </c>
    </row>
    <row r="413">
      <c r="A413" s="3" t="s">
        <v>451</v>
      </c>
      <c r="B413" s="4">
        <v>46368.0</v>
      </c>
      <c r="C413" s="3" t="s">
        <v>10</v>
      </c>
      <c r="D413" s="3" t="s">
        <v>11</v>
      </c>
      <c r="E413" s="3" t="s">
        <v>21</v>
      </c>
      <c r="F413" s="3">
        <v>480000.0</v>
      </c>
      <c r="G413" s="3">
        <v>1200000.0</v>
      </c>
      <c r="H413" s="3" t="str">
        <f t="shared" si="1"/>
        <v>Fare Increase</v>
      </c>
      <c r="I413" s="3" t="str">
        <f t="shared" si="2"/>
        <v>Issued</v>
      </c>
    </row>
    <row r="414">
      <c r="A414" s="3" t="s">
        <v>452</v>
      </c>
      <c r="B414" s="4">
        <v>46307.0</v>
      </c>
      <c r="C414" s="3" t="s">
        <v>18</v>
      </c>
      <c r="D414" s="3" t="s">
        <v>11</v>
      </c>
      <c r="E414" s="3" t="s">
        <v>35</v>
      </c>
      <c r="F414" s="3">
        <v>1118000.0</v>
      </c>
      <c r="G414" s="3">
        <v>1565200.0</v>
      </c>
      <c r="H414" s="3" t="str">
        <f t="shared" si="1"/>
        <v>Fare Increase</v>
      </c>
      <c r="I414" s="3" t="str">
        <f t="shared" si="2"/>
        <v>Issued</v>
      </c>
    </row>
    <row r="415">
      <c r="A415" s="3" t="s">
        <v>453</v>
      </c>
      <c r="B415" s="4">
        <v>46070.0</v>
      </c>
      <c r="C415" s="3" t="s">
        <v>30</v>
      </c>
      <c r="D415" s="3" t="s">
        <v>15</v>
      </c>
      <c r="E415" s="3" t="s">
        <v>21</v>
      </c>
      <c r="F415" s="3">
        <v>1757000.0</v>
      </c>
      <c r="G415" s="3">
        <v>2459800.0</v>
      </c>
      <c r="H415" s="3" t="str">
        <f t="shared" si="1"/>
        <v>Over Buffer</v>
      </c>
      <c r="I415" s="3" t="str">
        <f t="shared" si="2"/>
        <v>Refund</v>
      </c>
    </row>
    <row r="416">
      <c r="A416" s="3" t="s">
        <v>454</v>
      </c>
      <c r="B416" s="4">
        <v>46115.0</v>
      </c>
      <c r="C416" s="3" t="s">
        <v>30</v>
      </c>
      <c r="D416" s="3" t="s">
        <v>15</v>
      </c>
      <c r="E416" s="3" t="s">
        <v>421</v>
      </c>
      <c r="F416" s="3">
        <v>473000.0</v>
      </c>
      <c r="G416" s="3">
        <v>449350.0</v>
      </c>
      <c r="H416" s="3" t="str">
        <f t="shared" si="1"/>
        <v>Over Buffer</v>
      </c>
      <c r="I416" s="3" t="str">
        <f t="shared" si="2"/>
        <v>Refund</v>
      </c>
    </row>
    <row r="417">
      <c r="A417" s="3" t="s">
        <v>455</v>
      </c>
      <c r="B417" s="4">
        <v>46194.0</v>
      </c>
      <c r="C417" s="3" t="s">
        <v>23</v>
      </c>
      <c r="D417" s="3" t="s">
        <v>15</v>
      </c>
      <c r="E417" s="3" t="s">
        <v>31</v>
      </c>
      <c r="F417" s="3">
        <v>839000.0</v>
      </c>
      <c r="G417" s="3">
        <v>797050.0</v>
      </c>
      <c r="H417" s="3" t="str">
        <f t="shared" si="1"/>
        <v>Fare Increase</v>
      </c>
      <c r="I417" s="3" t="str">
        <f t="shared" si="2"/>
        <v>Issued</v>
      </c>
    </row>
    <row r="418">
      <c r="A418" s="3" t="s">
        <v>456</v>
      </c>
      <c r="B418" s="4">
        <v>46291.0</v>
      </c>
      <c r="C418" s="3" t="s">
        <v>25</v>
      </c>
      <c r="D418" s="3" t="s">
        <v>15</v>
      </c>
      <c r="E418" s="3" t="s">
        <v>116</v>
      </c>
      <c r="F418" s="3">
        <v>1569000.0</v>
      </c>
      <c r="G418" s="3">
        <v>3922500.0</v>
      </c>
      <c r="H418" s="3" t="str">
        <f t="shared" si="1"/>
        <v>Fare Increase</v>
      </c>
      <c r="I418" s="3" t="str">
        <f t="shared" si="2"/>
        <v>Issued</v>
      </c>
    </row>
    <row r="419">
      <c r="A419" s="3" t="s">
        <v>457</v>
      </c>
      <c r="B419" s="4">
        <v>46358.0</v>
      </c>
      <c r="C419" s="3" t="s">
        <v>25</v>
      </c>
      <c r="D419" s="3" t="s">
        <v>15</v>
      </c>
      <c r="E419" s="3" t="s">
        <v>26</v>
      </c>
      <c r="F419" s="3">
        <v>1076000.0</v>
      </c>
      <c r="G419" s="3">
        <v>1022200.0</v>
      </c>
      <c r="H419" s="3" t="str">
        <f t="shared" si="1"/>
        <v>Normal</v>
      </c>
      <c r="I419" s="3" t="str">
        <f t="shared" si="2"/>
        <v>Issued</v>
      </c>
    </row>
    <row r="420">
      <c r="A420" s="3" t="s">
        <v>458</v>
      </c>
      <c r="B420" s="4">
        <v>46033.0</v>
      </c>
      <c r="C420" s="3" t="s">
        <v>18</v>
      </c>
      <c r="D420" s="3" t="s">
        <v>11</v>
      </c>
      <c r="E420" s="3" t="s">
        <v>21</v>
      </c>
      <c r="F420" s="3">
        <v>800000.0</v>
      </c>
      <c r="G420" s="3">
        <v>919999.9999999999</v>
      </c>
      <c r="H420" s="3" t="str">
        <f t="shared" si="1"/>
        <v>Normal</v>
      </c>
      <c r="I420" s="3" t="str">
        <f t="shared" si="2"/>
        <v>Issued</v>
      </c>
    </row>
    <row r="421">
      <c r="A421" s="3" t="s">
        <v>459</v>
      </c>
      <c r="B421" s="4">
        <v>46372.0</v>
      </c>
      <c r="C421" s="3" t="s">
        <v>25</v>
      </c>
      <c r="D421" s="3" t="s">
        <v>15</v>
      </c>
      <c r="E421" s="3" t="s">
        <v>26</v>
      </c>
      <c r="F421" s="3">
        <v>1354000.0</v>
      </c>
      <c r="G421" s="3">
        <v>3385000.0</v>
      </c>
      <c r="H421" s="3" t="str">
        <f t="shared" si="1"/>
        <v>Normal</v>
      </c>
      <c r="I421" s="3" t="str">
        <f t="shared" si="2"/>
        <v>Issued</v>
      </c>
    </row>
    <row r="422">
      <c r="A422" s="3" t="s">
        <v>460</v>
      </c>
      <c r="B422" s="4">
        <v>46096.0</v>
      </c>
      <c r="C422" s="3" t="s">
        <v>25</v>
      </c>
      <c r="D422" s="3" t="s">
        <v>15</v>
      </c>
      <c r="E422" s="3" t="s">
        <v>61</v>
      </c>
      <c r="F422" s="3">
        <v>1506000.0</v>
      </c>
      <c r="G422" s="3">
        <v>3765000.0</v>
      </c>
      <c r="H422" s="3" t="str">
        <f t="shared" si="1"/>
        <v>Fare Increase</v>
      </c>
      <c r="I422" s="3" t="str">
        <f t="shared" si="2"/>
        <v>Issued</v>
      </c>
    </row>
    <row r="423">
      <c r="A423" s="3" t="s">
        <v>461</v>
      </c>
      <c r="B423" s="4">
        <v>46161.0</v>
      </c>
      <c r="C423" s="3" t="s">
        <v>14</v>
      </c>
      <c r="D423" s="3" t="s">
        <v>15</v>
      </c>
      <c r="E423" s="3" t="s">
        <v>16</v>
      </c>
      <c r="F423" s="3">
        <v>1422000.0</v>
      </c>
      <c r="G423" s="3">
        <v>1350900.0</v>
      </c>
      <c r="H423" s="3" t="str">
        <f t="shared" si="1"/>
        <v>Fare Increase</v>
      </c>
      <c r="I423" s="3" t="str">
        <f t="shared" si="2"/>
        <v>Issued</v>
      </c>
    </row>
    <row r="424">
      <c r="A424" s="3" t="s">
        <v>462</v>
      </c>
      <c r="B424" s="4">
        <v>46375.0</v>
      </c>
      <c r="C424" s="3" t="s">
        <v>30</v>
      </c>
      <c r="D424" s="3" t="s">
        <v>15</v>
      </c>
      <c r="E424" s="3" t="s">
        <v>42</v>
      </c>
      <c r="F424" s="3">
        <v>503000.0</v>
      </c>
      <c r="G424" s="3">
        <v>704200.0</v>
      </c>
      <c r="H424" s="3" t="str">
        <f t="shared" si="1"/>
        <v>Over Buffer</v>
      </c>
      <c r="I424" s="3" t="str">
        <f t="shared" si="2"/>
        <v>Refund</v>
      </c>
    </row>
    <row r="425">
      <c r="A425" s="3" t="s">
        <v>463</v>
      </c>
      <c r="B425" s="4">
        <v>46169.0</v>
      </c>
      <c r="C425" s="3" t="s">
        <v>18</v>
      </c>
      <c r="D425" s="3" t="s">
        <v>11</v>
      </c>
      <c r="E425" s="3" t="s">
        <v>63</v>
      </c>
      <c r="F425" s="3">
        <v>962000.0</v>
      </c>
      <c r="G425" s="3">
        <v>2405000.0</v>
      </c>
      <c r="H425" s="3" t="str">
        <f t="shared" si="1"/>
        <v>Normal</v>
      </c>
      <c r="I425" s="3" t="str">
        <f t="shared" si="2"/>
        <v>Issued</v>
      </c>
    </row>
    <row r="426">
      <c r="A426" s="3" t="s">
        <v>464</v>
      </c>
      <c r="B426" s="4">
        <v>46030.0</v>
      </c>
      <c r="C426" s="3" t="s">
        <v>25</v>
      </c>
      <c r="D426" s="3" t="s">
        <v>15</v>
      </c>
      <c r="E426" s="3" t="s">
        <v>61</v>
      </c>
      <c r="F426" s="3">
        <v>519000.0</v>
      </c>
      <c r="G426" s="3">
        <v>596850.0</v>
      </c>
      <c r="H426" s="3" t="str">
        <f t="shared" si="1"/>
        <v>Fare Increase</v>
      </c>
      <c r="I426" s="3" t="str">
        <f t="shared" si="2"/>
        <v>Issued</v>
      </c>
    </row>
    <row r="427">
      <c r="A427" s="3" t="s">
        <v>465</v>
      </c>
      <c r="B427" s="4">
        <v>46228.0</v>
      </c>
      <c r="C427" s="3" t="s">
        <v>18</v>
      </c>
      <c r="D427" s="3" t="s">
        <v>11</v>
      </c>
      <c r="E427" s="3" t="s">
        <v>19</v>
      </c>
      <c r="F427" s="3">
        <v>7633000.0</v>
      </c>
      <c r="G427" s="3">
        <v>8777950.0</v>
      </c>
      <c r="H427" s="3" t="str">
        <f t="shared" si="1"/>
        <v>Fare Increase</v>
      </c>
      <c r="I427" s="3" t="str">
        <f t="shared" si="2"/>
        <v>Issued</v>
      </c>
    </row>
    <row r="428">
      <c r="A428" s="3" t="s">
        <v>466</v>
      </c>
      <c r="B428" s="4">
        <v>46292.0</v>
      </c>
      <c r="C428" s="3" t="s">
        <v>14</v>
      </c>
      <c r="D428" s="3" t="s">
        <v>15</v>
      </c>
      <c r="E428" s="3" t="s">
        <v>37</v>
      </c>
      <c r="F428" s="3">
        <v>809000.0</v>
      </c>
      <c r="G428" s="3">
        <v>930349.9999999999</v>
      </c>
      <c r="H428" s="3" t="str">
        <f t="shared" si="1"/>
        <v>Fare Increase</v>
      </c>
      <c r="I428" s="3" t="str">
        <f t="shared" si="2"/>
        <v>Issued</v>
      </c>
    </row>
    <row r="429">
      <c r="A429" s="3" t="s">
        <v>467</v>
      </c>
      <c r="B429" s="4">
        <v>46317.0</v>
      </c>
      <c r="C429" s="3" t="s">
        <v>30</v>
      </c>
      <c r="D429" s="3" t="s">
        <v>15</v>
      </c>
      <c r="E429" s="3" t="s">
        <v>468</v>
      </c>
      <c r="F429" s="3">
        <v>1.0579E7</v>
      </c>
      <c r="G429" s="3">
        <v>1.005005E7</v>
      </c>
      <c r="H429" s="3" t="str">
        <f t="shared" si="1"/>
        <v>Fare Increase</v>
      </c>
      <c r="I429" s="3" t="str">
        <f t="shared" si="2"/>
        <v>Issued</v>
      </c>
    </row>
    <row r="430">
      <c r="A430" s="3" t="s">
        <v>469</v>
      </c>
      <c r="B430" s="4">
        <v>46247.0</v>
      </c>
      <c r="C430" s="3" t="s">
        <v>18</v>
      </c>
      <c r="D430" s="3" t="s">
        <v>11</v>
      </c>
      <c r="E430" s="3" t="s">
        <v>19</v>
      </c>
      <c r="F430" s="3">
        <v>883000.0</v>
      </c>
      <c r="G430" s="3">
        <v>1236200.0</v>
      </c>
      <c r="H430" s="3" t="str">
        <f t="shared" si="1"/>
        <v>Fare Increase</v>
      </c>
      <c r="I430" s="3" t="str">
        <f t="shared" si="2"/>
        <v>Issued</v>
      </c>
    </row>
    <row r="431">
      <c r="A431" s="3" t="s">
        <v>470</v>
      </c>
      <c r="B431" s="4">
        <v>46189.0</v>
      </c>
      <c r="C431" s="3" t="s">
        <v>30</v>
      </c>
      <c r="D431" s="3" t="s">
        <v>15</v>
      </c>
      <c r="E431" s="3" t="s">
        <v>12</v>
      </c>
      <c r="F431" s="3">
        <v>894000.0</v>
      </c>
      <c r="G431" s="3">
        <v>2235000.0</v>
      </c>
      <c r="H431" s="3" t="str">
        <f t="shared" si="1"/>
        <v>Normal</v>
      </c>
      <c r="I431" s="3" t="str">
        <f t="shared" si="2"/>
        <v>Issued</v>
      </c>
    </row>
    <row r="432">
      <c r="A432" s="3" t="s">
        <v>471</v>
      </c>
      <c r="B432" s="4">
        <v>46240.0</v>
      </c>
      <c r="C432" s="3" t="s">
        <v>18</v>
      </c>
      <c r="D432" s="3" t="s">
        <v>11</v>
      </c>
      <c r="E432" s="3" t="s">
        <v>12</v>
      </c>
      <c r="F432" s="3">
        <v>1663000.0</v>
      </c>
      <c r="G432" s="3">
        <v>1912449.9999999998</v>
      </c>
      <c r="H432" s="3" t="str">
        <f t="shared" si="1"/>
        <v>Normal</v>
      </c>
      <c r="I432" s="3" t="str">
        <f t="shared" si="2"/>
        <v>Issued</v>
      </c>
    </row>
    <row r="433">
      <c r="A433" s="3" t="s">
        <v>472</v>
      </c>
      <c r="B433" s="4">
        <v>46330.0</v>
      </c>
      <c r="C433" s="3" t="s">
        <v>18</v>
      </c>
      <c r="D433" s="3" t="s">
        <v>11</v>
      </c>
      <c r="E433" s="3" t="s">
        <v>35</v>
      </c>
      <c r="F433" s="3">
        <v>1.0402E7</v>
      </c>
      <c r="G433" s="3">
        <v>1.19623E7</v>
      </c>
      <c r="H433" s="3" t="str">
        <f t="shared" si="1"/>
        <v>Normal</v>
      </c>
      <c r="I433" s="3" t="str">
        <f t="shared" si="2"/>
        <v>Issued</v>
      </c>
    </row>
    <row r="434">
      <c r="A434" s="3" t="s">
        <v>473</v>
      </c>
      <c r="B434" s="4">
        <v>46285.0</v>
      </c>
      <c r="C434" s="3" t="s">
        <v>25</v>
      </c>
      <c r="D434" s="3" t="s">
        <v>15</v>
      </c>
      <c r="E434" s="3" t="s">
        <v>26</v>
      </c>
      <c r="F434" s="3">
        <v>545000.0</v>
      </c>
      <c r="G434" s="3">
        <v>763000.0</v>
      </c>
      <c r="H434" s="3" t="str">
        <f t="shared" si="1"/>
        <v>Fare Increase</v>
      </c>
      <c r="I434" s="3" t="str">
        <f t="shared" si="2"/>
        <v>Issued</v>
      </c>
    </row>
    <row r="435">
      <c r="A435" s="3" t="s">
        <v>474</v>
      </c>
      <c r="B435" s="4">
        <v>46198.0</v>
      </c>
      <c r="C435" s="3" t="s">
        <v>25</v>
      </c>
      <c r="D435" s="3" t="s">
        <v>15</v>
      </c>
      <c r="E435" s="3" t="s">
        <v>42</v>
      </c>
      <c r="F435" s="3">
        <v>548000.0</v>
      </c>
      <c r="G435" s="3">
        <v>630200.0</v>
      </c>
      <c r="H435" s="3" t="str">
        <f t="shared" si="1"/>
        <v>Over Buffer</v>
      </c>
      <c r="I435" s="3" t="str">
        <f t="shared" si="2"/>
        <v>Refund</v>
      </c>
    </row>
    <row r="436">
      <c r="A436" s="3" t="s">
        <v>475</v>
      </c>
      <c r="B436" s="4">
        <v>46160.0</v>
      </c>
      <c r="C436" s="3" t="s">
        <v>14</v>
      </c>
      <c r="D436" s="3" t="s">
        <v>15</v>
      </c>
      <c r="E436" s="3" t="s">
        <v>63</v>
      </c>
      <c r="F436" s="3">
        <v>1281000.0</v>
      </c>
      <c r="G436" s="3">
        <v>1473150.0</v>
      </c>
      <c r="H436" s="3" t="str">
        <f t="shared" si="1"/>
        <v>Over Buffer</v>
      </c>
      <c r="I436" s="3" t="str">
        <f t="shared" si="2"/>
        <v>Refund</v>
      </c>
    </row>
    <row r="437">
      <c r="A437" s="3" t="s">
        <v>476</v>
      </c>
      <c r="B437" s="4">
        <v>46091.0</v>
      </c>
      <c r="C437" s="3" t="s">
        <v>18</v>
      </c>
      <c r="D437" s="3" t="s">
        <v>11</v>
      </c>
      <c r="E437" s="3" t="s">
        <v>35</v>
      </c>
      <c r="F437" s="3">
        <v>1.1743E7</v>
      </c>
      <c r="G437" s="3">
        <v>2.93575E7</v>
      </c>
      <c r="H437" s="3" t="str">
        <f t="shared" si="1"/>
        <v>Over Buffer</v>
      </c>
      <c r="I437" s="3" t="str">
        <f t="shared" si="2"/>
        <v>Refund</v>
      </c>
    </row>
    <row r="438">
      <c r="A438" s="3" t="s">
        <v>477</v>
      </c>
      <c r="B438" s="4">
        <v>46146.0</v>
      </c>
      <c r="C438" s="3" t="s">
        <v>14</v>
      </c>
      <c r="D438" s="3" t="s">
        <v>15</v>
      </c>
      <c r="E438" s="3" t="s">
        <v>63</v>
      </c>
      <c r="F438" s="3">
        <v>1335000.0</v>
      </c>
      <c r="G438" s="3">
        <v>1868999.9999999998</v>
      </c>
      <c r="H438" s="3" t="str">
        <f t="shared" si="1"/>
        <v>Fare Increase</v>
      </c>
      <c r="I438" s="3" t="str">
        <f t="shared" si="2"/>
        <v>Issued</v>
      </c>
    </row>
    <row r="439">
      <c r="A439" s="3" t="s">
        <v>478</v>
      </c>
      <c r="B439" s="4">
        <v>46195.0</v>
      </c>
      <c r="C439" s="3" t="s">
        <v>23</v>
      </c>
      <c r="D439" s="3" t="s">
        <v>15</v>
      </c>
      <c r="E439" s="3" t="s">
        <v>31</v>
      </c>
      <c r="F439" s="3">
        <v>1.3466E7</v>
      </c>
      <c r="G439" s="3">
        <v>1.5485899999999998E7</v>
      </c>
      <c r="H439" s="3" t="str">
        <f t="shared" si="1"/>
        <v>Over Buffer</v>
      </c>
      <c r="I439" s="3" t="str">
        <f t="shared" si="2"/>
        <v>Refund</v>
      </c>
    </row>
    <row r="440">
      <c r="A440" s="3" t="s">
        <v>479</v>
      </c>
      <c r="B440" s="4">
        <v>46228.0</v>
      </c>
      <c r="C440" s="3" t="s">
        <v>23</v>
      </c>
      <c r="D440" s="3" t="s">
        <v>15</v>
      </c>
      <c r="E440" s="3" t="s">
        <v>19</v>
      </c>
      <c r="F440" s="3">
        <v>1069000.0</v>
      </c>
      <c r="G440" s="3">
        <v>1496600.0</v>
      </c>
      <c r="H440" s="3" t="str">
        <f t="shared" si="1"/>
        <v>Fare Increase</v>
      </c>
      <c r="I440" s="3" t="str">
        <f t="shared" si="2"/>
        <v>Issued</v>
      </c>
    </row>
    <row r="441">
      <c r="A441" s="3" t="s">
        <v>480</v>
      </c>
      <c r="B441" s="4">
        <v>46151.0</v>
      </c>
      <c r="C441" s="3" t="s">
        <v>23</v>
      </c>
      <c r="D441" s="3" t="s">
        <v>15</v>
      </c>
      <c r="E441" s="3" t="s">
        <v>19</v>
      </c>
      <c r="F441" s="3">
        <v>519000.0</v>
      </c>
      <c r="G441" s="3">
        <v>1297500.0</v>
      </c>
      <c r="H441" s="3" t="str">
        <f t="shared" si="1"/>
        <v>Fare Increase</v>
      </c>
      <c r="I441" s="3" t="str">
        <f t="shared" si="2"/>
        <v>Issued</v>
      </c>
    </row>
    <row r="442">
      <c r="A442" s="3" t="s">
        <v>481</v>
      </c>
      <c r="B442" s="4">
        <v>46287.0</v>
      </c>
      <c r="C442" s="3" t="s">
        <v>23</v>
      </c>
      <c r="D442" s="3" t="s">
        <v>15</v>
      </c>
      <c r="E442" s="3" t="s">
        <v>19</v>
      </c>
      <c r="F442" s="3">
        <v>1.0708E7</v>
      </c>
      <c r="G442" s="3">
        <v>2.677E7</v>
      </c>
      <c r="H442" s="3" t="str">
        <f t="shared" si="1"/>
        <v>Over Buffer</v>
      </c>
      <c r="I442" s="3" t="str">
        <f t="shared" si="2"/>
        <v>Refund</v>
      </c>
    </row>
    <row r="443">
      <c r="A443" s="3" t="s">
        <v>482</v>
      </c>
      <c r="B443" s="4">
        <v>46137.0</v>
      </c>
      <c r="C443" s="3" t="s">
        <v>25</v>
      </c>
      <c r="D443" s="3" t="s">
        <v>15</v>
      </c>
      <c r="E443" s="3" t="s">
        <v>61</v>
      </c>
      <c r="F443" s="3">
        <v>1540000.0</v>
      </c>
      <c r="G443" s="3">
        <v>1770999.9999999998</v>
      </c>
      <c r="H443" s="3" t="str">
        <f t="shared" si="1"/>
        <v>Fare Increase</v>
      </c>
      <c r="I443" s="3" t="str">
        <f t="shared" si="2"/>
        <v>Issued</v>
      </c>
    </row>
    <row r="444">
      <c r="A444" s="3" t="s">
        <v>483</v>
      </c>
      <c r="B444" s="4">
        <v>46174.0</v>
      </c>
      <c r="C444" s="3" t="s">
        <v>30</v>
      </c>
      <c r="D444" s="3" t="s">
        <v>15</v>
      </c>
      <c r="E444" s="3" t="s">
        <v>31</v>
      </c>
      <c r="F444" s="3">
        <v>1.0905E7</v>
      </c>
      <c r="G444" s="3">
        <v>1.5266999999999998E7</v>
      </c>
      <c r="H444" s="3" t="str">
        <f t="shared" si="1"/>
        <v>Fare Increase</v>
      </c>
      <c r="I444" s="3" t="str">
        <f t="shared" si="2"/>
        <v>Issued</v>
      </c>
    </row>
    <row r="445">
      <c r="A445" s="3" t="s">
        <v>484</v>
      </c>
      <c r="B445" s="4">
        <v>46344.0</v>
      </c>
      <c r="C445" s="3" t="s">
        <v>25</v>
      </c>
      <c r="D445" s="3" t="s">
        <v>15</v>
      </c>
      <c r="E445" s="3" t="s">
        <v>116</v>
      </c>
      <c r="F445" s="3">
        <v>1.3333E7</v>
      </c>
      <c r="G445" s="3">
        <v>1.266635E7</v>
      </c>
      <c r="H445" s="3" t="str">
        <f t="shared" si="1"/>
        <v>Over Buffer</v>
      </c>
      <c r="I445" s="3" t="str">
        <f t="shared" si="2"/>
        <v>Refund</v>
      </c>
    </row>
    <row r="446">
      <c r="A446" s="3" t="s">
        <v>485</v>
      </c>
      <c r="B446" s="4">
        <v>46037.0</v>
      </c>
      <c r="C446" s="3" t="s">
        <v>23</v>
      </c>
      <c r="D446" s="3" t="s">
        <v>15</v>
      </c>
      <c r="E446" s="3" t="s">
        <v>33</v>
      </c>
      <c r="F446" s="3">
        <v>1715000.0</v>
      </c>
      <c r="G446" s="3">
        <v>1629250.0</v>
      </c>
      <c r="H446" s="3" t="str">
        <f t="shared" si="1"/>
        <v>Fare Increase</v>
      </c>
      <c r="I446" s="3" t="str">
        <f t="shared" si="2"/>
        <v>Issued</v>
      </c>
    </row>
    <row r="447">
      <c r="A447" s="3" t="s">
        <v>486</v>
      </c>
      <c r="B447" s="4">
        <v>46105.0</v>
      </c>
      <c r="C447" s="3" t="s">
        <v>23</v>
      </c>
      <c r="D447" s="3" t="s">
        <v>15</v>
      </c>
      <c r="E447" s="3" t="s">
        <v>31</v>
      </c>
      <c r="F447" s="3">
        <v>1656000.0</v>
      </c>
      <c r="G447" s="3">
        <v>1573200.0</v>
      </c>
      <c r="H447" s="3" t="str">
        <f t="shared" si="1"/>
        <v>Fare Increase</v>
      </c>
      <c r="I447" s="3" t="str">
        <f t="shared" si="2"/>
        <v>Issued</v>
      </c>
    </row>
    <row r="448">
      <c r="A448" s="3" t="s">
        <v>487</v>
      </c>
      <c r="B448" s="4">
        <v>46214.0</v>
      </c>
      <c r="C448" s="3" t="s">
        <v>23</v>
      </c>
      <c r="D448" s="3" t="s">
        <v>15</v>
      </c>
      <c r="E448" s="3" t="s">
        <v>33</v>
      </c>
      <c r="F448" s="3">
        <v>9381000.0</v>
      </c>
      <c r="G448" s="3">
        <v>1.31334E7</v>
      </c>
      <c r="H448" s="3" t="str">
        <f t="shared" si="1"/>
        <v>Normal</v>
      </c>
      <c r="I448" s="3" t="str">
        <f t="shared" si="2"/>
        <v>Issued</v>
      </c>
    </row>
    <row r="449">
      <c r="A449" s="3" t="s">
        <v>488</v>
      </c>
      <c r="B449" s="4">
        <v>46288.0</v>
      </c>
      <c r="C449" s="3" t="s">
        <v>23</v>
      </c>
      <c r="D449" s="3" t="s">
        <v>15</v>
      </c>
      <c r="E449" s="3" t="s">
        <v>33</v>
      </c>
      <c r="F449" s="3">
        <v>1121000.0</v>
      </c>
      <c r="G449" s="3">
        <v>1569400.0</v>
      </c>
      <c r="H449" s="3" t="str">
        <f t="shared" si="1"/>
        <v>Normal</v>
      </c>
      <c r="I449" s="3" t="str">
        <f t="shared" si="2"/>
        <v>Issued</v>
      </c>
    </row>
    <row r="450">
      <c r="A450" s="3" t="s">
        <v>489</v>
      </c>
      <c r="B450" s="4">
        <v>46128.0</v>
      </c>
      <c r="C450" s="3" t="s">
        <v>25</v>
      </c>
      <c r="D450" s="3" t="s">
        <v>15</v>
      </c>
      <c r="E450" s="3" t="s">
        <v>116</v>
      </c>
      <c r="F450" s="3">
        <v>1769000.0</v>
      </c>
      <c r="G450" s="3">
        <v>4422500.0</v>
      </c>
      <c r="H450" s="3" t="str">
        <f t="shared" si="1"/>
        <v>Normal</v>
      </c>
      <c r="I450" s="3" t="str">
        <f t="shared" si="2"/>
        <v>Issued</v>
      </c>
    </row>
    <row r="451">
      <c r="A451" s="3" t="s">
        <v>490</v>
      </c>
      <c r="B451" s="4">
        <v>46370.0</v>
      </c>
      <c r="C451" s="3" t="s">
        <v>30</v>
      </c>
      <c r="D451" s="3" t="s">
        <v>15</v>
      </c>
      <c r="E451" s="3" t="s">
        <v>161</v>
      </c>
      <c r="F451" s="3">
        <v>3237000.0</v>
      </c>
      <c r="G451" s="3">
        <v>3075150.0</v>
      </c>
      <c r="H451" s="3" t="str">
        <f t="shared" si="1"/>
        <v>Fare Increase</v>
      </c>
      <c r="I451" s="3" t="str">
        <f t="shared" si="2"/>
        <v>Issued</v>
      </c>
    </row>
    <row r="452">
      <c r="A452" s="3" t="s">
        <v>491</v>
      </c>
      <c r="B452" s="4">
        <v>46282.0</v>
      </c>
      <c r="C452" s="3" t="s">
        <v>30</v>
      </c>
      <c r="D452" s="3" t="s">
        <v>15</v>
      </c>
      <c r="E452" s="3" t="s">
        <v>35</v>
      </c>
      <c r="F452" s="3">
        <v>771000.0</v>
      </c>
      <c r="G452" s="3">
        <v>886649.9999999999</v>
      </c>
      <c r="H452" s="3" t="str">
        <f t="shared" si="1"/>
        <v>Over Buffer</v>
      </c>
      <c r="I452" s="3" t="str">
        <f t="shared" si="2"/>
        <v>Refund</v>
      </c>
    </row>
    <row r="453">
      <c r="A453" s="3" t="s">
        <v>492</v>
      </c>
      <c r="B453" s="4">
        <v>46076.0</v>
      </c>
      <c r="C453" s="3" t="s">
        <v>18</v>
      </c>
      <c r="D453" s="3" t="s">
        <v>11</v>
      </c>
      <c r="E453" s="3" t="s">
        <v>12</v>
      </c>
      <c r="F453" s="3">
        <v>1225000.0</v>
      </c>
      <c r="G453" s="3">
        <v>1715000.0</v>
      </c>
      <c r="H453" s="3" t="str">
        <f t="shared" si="1"/>
        <v>Over Buffer</v>
      </c>
      <c r="I453" s="3" t="str">
        <f t="shared" si="2"/>
        <v>Refund</v>
      </c>
    </row>
    <row r="454">
      <c r="A454" s="3" t="s">
        <v>493</v>
      </c>
      <c r="B454" s="4">
        <v>46358.0</v>
      </c>
      <c r="C454" s="3" t="s">
        <v>14</v>
      </c>
      <c r="D454" s="3" t="s">
        <v>15</v>
      </c>
      <c r="E454" s="3" t="s">
        <v>16</v>
      </c>
      <c r="F454" s="3">
        <v>503000.0</v>
      </c>
      <c r="G454" s="3">
        <v>578450.0</v>
      </c>
      <c r="H454" s="3" t="str">
        <f t="shared" si="1"/>
        <v>Fare Increase</v>
      </c>
      <c r="I454" s="3" t="str">
        <f t="shared" si="2"/>
        <v>Issued</v>
      </c>
    </row>
    <row r="455">
      <c r="A455" s="3" t="s">
        <v>494</v>
      </c>
      <c r="B455" s="4">
        <v>46195.0</v>
      </c>
      <c r="C455" s="3" t="s">
        <v>18</v>
      </c>
      <c r="D455" s="3" t="s">
        <v>11</v>
      </c>
      <c r="E455" s="3" t="s">
        <v>35</v>
      </c>
      <c r="F455" s="3">
        <v>1.4457E7</v>
      </c>
      <c r="G455" s="3">
        <v>2.02398E7</v>
      </c>
      <c r="H455" s="3" t="str">
        <f t="shared" si="1"/>
        <v>Normal</v>
      </c>
      <c r="I455" s="3" t="str">
        <f t="shared" si="2"/>
        <v>Issued</v>
      </c>
    </row>
    <row r="456">
      <c r="A456" s="3" t="s">
        <v>495</v>
      </c>
      <c r="B456" s="4">
        <v>46125.0</v>
      </c>
      <c r="C456" s="3" t="s">
        <v>14</v>
      </c>
      <c r="D456" s="3" t="s">
        <v>15</v>
      </c>
      <c r="E456" s="3" t="s">
        <v>16</v>
      </c>
      <c r="F456" s="3">
        <v>1284000.0</v>
      </c>
      <c r="G456" s="3">
        <v>1797600.0</v>
      </c>
      <c r="H456" s="3" t="str">
        <f t="shared" si="1"/>
        <v>Fare Increase</v>
      </c>
      <c r="I456" s="3" t="str">
        <f t="shared" si="2"/>
        <v>Issued</v>
      </c>
    </row>
    <row r="457">
      <c r="A457" s="3" t="s">
        <v>496</v>
      </c>
      <c r="B457" s="4">
        <v>46279.0</v>
      </c>
      <c r="C457" s="3" t="s">
        <v>14</v>
      </c>
      <c r="D457" s="3" t="s">
        <v>15</v>
      </c>
      <c r="E457" s="3" t="s">
        <v>16</v>
      </c>
      <c r="F457" s="3">
        <v>1075000.0</v>
      </c>
      <c r="G457" s="3">
        <v>1021250.0</v>
      </c>
      <c r="H457" s="3" t="str">
        <f t="shared" si="1"/>
        <v>Normal</v>
      </c>
      <c r="I457" s="3" t="str">
        <f t="shared" si="2"/>
        <v>Issued</v>
      </c>
    </row>
    <row r="458">
      <c r="A458" s="3" t="s">
        <v>497</v>
      </c>
      <c r="B458" s="4">
        <v>46095.0</v>
      </c>
      <c r="C458" s="3" t="s">
        <v>23</v>
      </c>
      <c r="D458" s="3" t="s">
        <v>15</v>
      </c>
      <c r="E458" s="3" t="s">
        <v>19</v>
      </c>
      <c r="F458" s="3">
        <v>581000.0</v>
      </c>
      <c r="G458" s="3">
        <v>551950.0</v>
      </c>
      <c r="H458" s="3" t="str">
        <f t="shared" si="1"/>
        <v>Normal</v>
      </c>
      <c r="I458" s="3" t="str">
        <f t="shared" si="2"/>
        <v>Issued</v>
      </c>
    </row>
    <row r="459">
      <c r="A459" s="3" t="s">
        <v>498</v>
      </c>
      <c r="B459" s="4">
        <v>46151.0</v>
      </c>
      <c r="C459" s="3" t="s">
        <v>10</v>
      </c>
      <c r="D459" s="3" t="s">
        <v>11</v>
      </c>
      <c r="E459" s="3" t="s">
        <v>35</v>
      </c>
      <c r="F459" s="3">
        <v>4353000.0</v>
      </c>
      <c r="G459" s="3">
        <v>4135350.0</v>
      </c>
      <c r="H459" s="3" t="str">
        <f t="shared" si="1"/>
        <v>Over Buffer</v>
      </c>
      <c r="I459" s="3" t="str">
        <f t="shared" si="2"/>
        <v>Refund</v>
      </c>
    </row>
    <row r="460">
      <c r="A460" s="3" t="s">
        <v>499</v>
      </c>
      <c r="B460" s="4">
        <v>46366.0</v>
      </c>
      <c r="C460" s="3" t="s">
        <v>23</v>
      </c>
      <c r="D460" s="3" t="s">
        <v>15</v>
      </c>
      <c r="E460" s="3" t="s">
        <v>31</v>
      </c>
      <c r="F460" s="3">
        <v>1065000.0</v>
      </c>
      <c r="G460" s="3">
        <v>1224750.0</v>
      </c>
      <c r="H460" s="3" t="str">
        <f t="shared" si="1"/>
        <v>Fare Increase</v>
      </c>
      <c r="I460" s="3" t="str">
        <f t="shared" si="2"/>
        <v>Issued</v>
      </c>
    </row>
    <row r="461">
      <c r="A461" s="3" t="s">
        <v>500</v>
      </c>
      <c r="B461" s="4">
        <v>46163.0</v>
      </c>
      <c r="C461" s="3" t="s">
        <v>14</v>
      </c>
      <c r="D461" s="3" t="s">
        <v>15</v>
      </c>
      <c r="E461" s="3" t="s">
        <v>37</v>
      </c>
      <c r="F461" s="3">
        <v>2634000.0</v>
      </c>
      <c r="G461" s="3">
        <v>6585000.0</v>
      </c>
      <c r="H461" s="3" t="str">
        <f t="shared" si="1"/>
        <v>Fare Increase</v>
      </c>
      <c r="I461" s="3" t="str">
        <f t="shared" si="2"/>
        <v>Issued</v>
      </c>
    </row>
    <row r="462">
      <c r="A462" s="3" t="s">
        <v>501</v>
      </c>
      <c r="B462" s="4">
        <v>46379.0</v>
      </c>
      <c r="C462" s="3" t="s">
        <v>25</v>
      </c>
      <c r="D462" s="3" t="s">
        <v>15</v>
      </c>
      <c r="E462" s="3" t="s">
        <v>42</v>
      </c>
      <c r="F462" s="3">
        <v>1.1372E7</v>
      </c>
      <c r="G462" s="3">
        <v>2.843E7</v>
      </c>
      <c r="H462" s="3" t="str">
        <f t="shared" si="1"/>
        <v>Fare Increase</v>
      </c>
      <c r="I462" s="3" t="str">
        <f t="shared" si="2"/>
        <v>Issued</v>
      </c>
    </row>
    <row r="463">
      <c r="A463" s="3" t="s">
        <v>502</v>
      </c>
      <c r="B463" s="4">
        <v>46058.0</v>
      </c>
      <c r="C463" s="3" t="s">
        <v>18</v>
      </c>
      <c r="D463" s="3" t="s">
        <v>11</v>
      </c>
      <c r="E463" s="3" t="s">
        <v>12</v>
      </c>
      <c r="F463" s="3">
        <v>1739000.0</v>
      </c>
      <c r="G463" s="3">
        <v>4347500.0</v>
      </c>
      <c r="H463" s="3" t="str">
        <f t="shared" si="1"/>
        <v>Fare Increase</v>
      </c>
      <c r="I463" s="3" t="str">
        <f t="shared" si="2"/>
        <v>Issued</v>
      </c>
    </row>
    <row r="464">
      <c r="A464" s="3" t="s">
        <v>503</v>
      </c>
      <c r="B464" s="4">
        <v>46339.0</v>
      </c>
      <c r="C464" s="3" t="s">
        <v>14</v>
      </c>
      <c r="D464" s="3" t="s">
        <v>15</v>
      </c>
      <c r="E464" s="3" t="s">
        <v>16</v>
      </c>
      <c r="F464" s="3">
        <v>508000.0</v>
      </c>
      <c r="G464" s="3">
        <v>584200.0</v>
      </c>
      <c r="H464" s="3" t="str">
        <f t="shared" si="1"/>
        <v>Over Buffer</v>
      </c>
      <c r="I464" s="3" t="str">
        <f t="shared" si="2"/>
        <v>Refund</v>
      </c>
    </row>
    <row r="465">
      <c r="A465" s="3" t="s">
        <v>504</v>
      </c>
      <c r="B465" s="4">
        <v>46243.0</v>
      </c>
      <c r="C465" s="3" t="s">
        <v>10</v>
      </c>
      <c r="D465" s="3" t="s">
        <v>11</v>
      </c>
      <c r="E465" s="3" t="s">
        <v>35</v>
      </c>
      <c r="F465" s="3">
        <v>733000.0</v>
      </c>
      <c r="G465" s="3">
        <v>1832500.0</v>
      </c>
      <c r="H465" s="3" t="str">
        <f t="shared" si="1"/>
        <v>Normal</v>
      </c>
      <c r="I465" s="3" t="str">
        <f t="shared" si="2"/>
        <v>Issued</v>
      </c>
    </row>
    <row r="466">
      <c r="A466" s="3" t="s">
        <v>505</v>
      </c>
      <c r="B466" s="4">
        <v>46310.0</v>
      </c>
      <c r="C466" s="3" t="s">
        <v>14</v>
      </c>
      <c r="D466" s="3" t="s">
        <v>15</v>
      </c>
      <c r="E466" s="3" t="s">
        <v>63</v>
      </c>
      <c r="F466" s="3">
        <v>1.4962E7</v>
      </c>
      <c r="G466" s="3">
        <v>2.09468E7</v>
      </c>
      <c r="H466" s="3" t="str">
        <f t="shared" si="1"/>
        <v>Normal</v>
      </c>
      <c r="I466" s="3" t="str">
        <f t="shared" si="2"/>
        <v>Issued</v>
      </c>
    </row>
    <row r="467">
      <c r="A467" s="3" t="s">
        <v>506</v>
      </c>
      <c r="B467" s="4">
        <v>46228.0</v>
      </c>
      <c r="C467" s="3" t="s">
        <v>25</v>
      </c>
      <c r="D467" s="3" t="s">
        <v>15</v>
      </c>
      <c r="E467" s="3" t="s">
        <v>116</v>
      </c>
      <c r="F467" s="3">
        <v>1214000.0</v>
      </c>
      <c r="G467" s="3">
        <v>1396100.0</v>
      </c>
      <c r="H467" s="3" t="str">
        <f t="shared" si="1"/>
        <v>Fare Increase</v>
      </c>
      <c r="I467" s="3" t="str">
        <f t="shared" si="2"/>
        <v>Issued</v>
      </c>
    </row>
    <row r="468">
      <c r="A468" s="3" t="s">
        <v>507</v>
      </c>
      <c r="B468" s="4">
        <v>46073.0</v>
      </c>
      <c r="C468" s="3" t="s">
        <v>18</v>
      </c>
      <c r="D468" s="3" t="s">
        <v>11</v>
      </c>
      <c r="E468" s="3" t="s">
        <v>12</v>
      </c>
      <c r="F468" s="3">
        <v>1772000.0</v>
      </c>
      <c r="G468" s="3">
        <v>4430000.0</v>
      </c>
      <c r="H468" s="3" t="str">
        <f t="shared" si="1"/>
        <v>Fare Increase</v>
      </c>
      <c r="I468" s="3" t="str">
        <f t="shared" si="2"/>
        <v>Issued</v>
      </c>
    </row>
    <row r="469">
      <c r="A469" s="3" t="s">
        <v>508</v>
      </c>
      <c r="B469" s="4">
        <v>46050.0</v>
      </c>
      <c r="C469" s="3" t="s">
        <v>14</v>
      </c>
      <c r="D469" s="3" t="s">
        <v>15</v>
      </c>
      <c r="E469" s="3" t="s">
        <v>37</v>
      </c>
      <c r="F469" s="3">
        <v>1181000.0</v>
      </c>
      <c r="G469" s="3">
        <v>1653400.0</v>
      </c>
      <c r="H469" s="3" t="str">
        <f t="shared" si="1"/>
        <v>Over Buffer</v>
      </c>
      <c r="I469" s="3" t="str">
        <f t="shared" si="2"/>
        <v>Refund</v>
      </c>
    </row>
    <row r="470">
      <c r="A470" s="3" t="s">
        <v>509</v>
      </c>
      <c r="B470" s="4">
        <v>46152.0</v>
      </c>
      <c r="C470" s="3" t="s">
        <v>10</v>
      </c>
      <c r="D470" s="3" t="s">
        <v>11</v>
      </c>
      <c r="E470" s="3" t="s">
        <v>12</v>
      </c>
      <c r="F470" s="3">
        <v>1262000.0</v>
      </c>
      <c r="G470" s="3">
        <v>1451300.0</v>
      </c>
      <c r="H470" s="3" t="str">
        <f t="shared" si="1"/>
        <v>Over Buffer</v>
      </c>
      <c r="I470" s="3" t="str">
        <f t="shared" si="2"/>
        <v>Refund</v>
      </c>
    </row>
    <row r="471">
      <c r="A471" s="3" t="s">
        <v>510</v>
      </c>
      <c r="B471" s="4">
        <v>46383.0</v>
      </c>
      <c r="C471" s="3" t="s">
        <v>10</v>
      </c>
      <c r="D471" s="3" t="s">
        <v>11</v>
      </c>
      <c r="E471" s="3" t="s">
        <v>19</v>
      </c>
      <c r="F471" s="3">
        <v>1573000.0</v>
      </c>
      <c r="G471" s="3">
        <v>3932500.0</v>
      </c>
      <c r="H471" s="3" t="str">
        <f t="shared" si="1"/>
        <v>Over Buffer</v>
      </c>
      <c r="I471" s="3" t="str">
        <f t="shared" si="2"/>
        <v>Refund</v>
      </c>
    </row>
    <row r="472">
      <c r="A472" s="3" t="s">
        <v>511</v>
      </c>
      <c r="B472" s="4">
        <v>46229.0</v>
      </c>
      <c r="C472" s="3" t="s">
        <v>30</v>
      </c>
      <c r="D472" s="3" t="s">
        <v>15</v>
      </c>
      <c r="E472" s="3" t="s">
        <v>340</v>
      </c>
      <c r="F472" s="3">
        <v>5974000.0</v>
      </c>
      <c r="G472" s="3">
        <v>6870099.999999999</v>
      </c>
      <c r="H472" s="3" t="str">
        <f t="shared" si="1"/>
        <v>Fare Increase</v>
      </c>
      <c r="I472" s="3" t="str">
        <f t="shared" si="2"/>
        <v>Issued</v>
      </c>
    </row>
    <row r="473">
      <c r="A473" s="3" t="s">
        <v>512</v>
      </c>
      <c r="B473" s="4">
        <v>46045.0</v>
      </c>
      <c r="C473" s="3" t="s">
        <v>14</v>
      </c>
      <c r="D473" s="3" t="s">
        <v>15</v>
      </c>
      <c r="E473" s="3" t="s">
        <v>63</v>
      </c>
      <c r="F473" s="3">
        <v>1.3368E7</v>
      </c>
      <c r="G473" s="3">
        <v>1.87152E7</v>
      </c>
      <c r="H473" s="3" t="str">
        <f t="shared" si="1"/>
        <v>Fare Increase</v>
      </c>
      <c r="I473" s="3" t="str">
        <f t="shared" si="2"/>
        <v>Issued</v>
      </c>
    </row>
    <row r="474">
      <c r="A474" s="3" t="s">
        <v>513</v>
      </c>
      <c r="B474" s="4">
        <v>46370.0</v>
      </c>
      <c r="C474" s="3" t="s">
        <v>10</v>
      </c>
      <c r="D474" s="3" t="s">
        <v>11</v>
      </c>
      <c r="E474" s="3" t="s">
        <v>12</v>
      </c>
      <c r="F474" s="3">
        <v>1163000.0</v>
      </c>
      <c r="G474" s="3">
        <v>1104850.0</v>
      </c>
      <c r="H474" s="3" t="str">
        <f t="shared" si="1"/>
        <v>Fare Increase</v>
      </c>
      <c r="I474" s="3" t="str">
        <f t="shared" si="2"/>
        <v>Issued</v>
      </c>
    </row>
    <row r="475">
      <c r="A475" s="3" t="s">
        <v>514</v>
      </c>
      <c r="B475" s="4">
        <v>46156.0</v>
      </c>
      <c r="C475" s="3" t="s">
        <v>23</v>
      </c>
      <c r="D475" s="3" t="s">
        <v>15</v>
      </c>
      <c r="E475" s="3" t="s">
        <v>19</v>
      </c>
      <c r="F475" s="3">
        <v>7464000.0</v>
      </c>
      <c r="G475" s="3">
        <v>7090800.0</v>
      </c>
      <c r="H475" s="3" t="str">
        <f t="shared" si="1"/>
        <v>Fare Increase</v>
      </c>
      <c r="I475" s="3" t="str">
        <f t="shared" si="2"/>
        <v>Issued</v>
      </c>
    </row>
    <row r="476">
      <c r="A476" s="3" t="s">
        <v>515</v>
      </c>
      <c r="B476" s="4">
        <v>46219.0</v>
      </c>
      <c r="C476" s="3" t="s">
        <v>30</v>
      </c>
      <c r="D476" s="3" t="s">
        <v>15</v>
      </c>
      <c r="E476" s="3" t="s">
        <v>63</v>
      </c>
      <c r="F476" s="3">
        <v>710000.0</v>
      </c>
      <c r="G476" s="3">
        <v>674500.0</v>
      </c>
      <c r="H476" s="3" t="str">
        <f t="shared" si="1"/>
        <v>Normal</v>
      </c>
      <c r="I476" s="3" t="str">
        <f t="shared" si="2"/>
        <v>Issued</v>
      </c>
    </row>
    <row r="477">
      <c r="A477" s="3" t="s">
        <v>516</v>
      </c>
      <c r="B477" s="4">
        <v>46160.0</v>
      </c>
      <c r="C477" s="3" t="s">
        <v>18</v>
      </c>
      <c r="D477" s="3" t="s">
        <v>11</v>
      </c>
      <c r="E477" s="3" t="s">
        <v>19</v>
      </c>
      <c r="F477" s="3">
        <v>463000.0</v>
      </c>
      <c r="G477" s="3">
        <v>648200.0</v>
      </c>
      <c r="H477" s="3" t="str">
        <f t="shared" si="1"/>
        <v>Fare Increase</v>
      </c>
      <c r="I477" s="3" t="str">
        <f t="shared" si="2"/>
        <v>Issued</v>
      </c>
    </row>
    <row r="478">
      <c r="A478" s="3" t="s">
        <v>517</v>
      </c>
      <c r="B478" s="4">
        <v>46192.0</v>
      </c>
      <c r="C478" s="3" t="s">
        <v>23</v>
      </c>
      <c r="D478" s="3" t="s">
        <v>15</v>
      </c>
      <c r="E478" s="3" t="s">
        <v>19</v>
      </c>
      <c r="F478" s="3">
        <v>1.1009E7</v>
      </c>
      <c r="G478" s="3">
        <v>2.75225E7</v>
      </c>
      <c r="H478" s="3" t="str">
        <f t="shared" si="1"/>
        <v>Over Buffer</v>
      </c>
      <c r="I478" s="3" t="str">
        <f t="shared" si="2"/>
        <v>Refund</v>
      </c>
    </row>
    <row r="479">
      <c r="A479" s="3" t="s">
        <v>518</v>
      </c>
      <c r="B479" s="4">
        <v>46040.0</v>
      </c>
      <c r="C479" s="3" t="s">
        <v>30</v>
      </c>
      <c r="D479" s="3" t="s">
        <v>15</v>
      </c>
      <c r="E479" s="3" t="s">
        <v>116</v>
      </c>
      <c r="F479" s="3">
        <v>1315000.0</v>
      </c>
      <c r="G479" s="3">
        <v>3287500.0</v>
      </c>
      <c r="H479" s="3" t="str">
        <f t="shared" si="1"/>
        <v>Fare Increase</v>
      </c>
      <c r="I479" s="3" t="str">
        <f t="shared" si="2"/>
        <v>Issued</v>
      </c>
    </row>
    <row r="480">
      <c r="A480" s="3" t="s">
        <v>519</v>
      </c>
      <c r="B480" s="4">
        <v>46352.0</v>
      </c>
      <c r="C480" s="3" t="s">
        <v>14</v>
      </c>
      <c r="D480" s="3" t="s">
        <v>15</v>
      </c>
      <c r="E480" s="3" t="s">
        <v>37</v>
      </c>
      <c r="F480" s="3">
        <v>799000.0</v>
      </c>
      <c r="G480" s="3">
        <v>918849.9999999999</v>
      </c>
      <c r="H480" s="3" t="str">
        <f t="shared" si="1"/>
        <v>Fare Increase</v>
      </c>
      <c r="I480" s="3" t="str">
        <f t="shared" si="2"/>
        <v>Issued</v>
      </c>
    </row>
    <row r="481">
      <c r="A481" s="3" t="s">
        <v>520</v>
      </c>
      <c r="B481" s="4">
        <v>46211.0</v>
      </c>
      <c r="C481" s="3" t="s">
        <v>10</v>
      </c>
      <c r="D481" s="3" t="s">
        <v>11</v>
      </c>
      <c r="E481" s="3" t="s">
        <v>63</v>
      </c>
      <c r="F481" s="3">
        <v>1386000.0</v>
      </c>
      <c r="G481" s="3">
        <v>1316700.0</v>
      </c>
      <c r="H481" s="3" t="str">
        <f t="shared" si="1"/>
        <v>Fare Increase</v>
      </c>
      <c r="I481" s="3" t="str">
        <f t="shared" si="2"/>
        <v>Issued</v>
      </c>
    </row>
    <row r="482">
      <c r="A482" s="3" t="s">
        <v>521</v>
      </c>
      <c r="B482" s="4">
        <v>46328.0</v>
      </c>
      <c r="C482" s="3" t="s">
        <v>23</v>
      </c>
      <c r="D482" s="3" t="s">
        <v>15</v>
      </c>
      <c r="E482" s="3" t="s">
        <v>19</v>
      </c>
      <c r="F482" s="3">
        <v>1044000.0</v>
      </c>
      <c r="G482" s="3">
        <v>1461600.0</v>
      </c>
      <c r="H482" s="3" t="str">
        <f t="shared" si="1"/>
        <v>Fare Increase</v>
      </c>
      <c r="I482" s="3" t="str">
        <f t="shared" si="2"/>
        <v>Issued</v>
      </c>
    </row>
    <row r="483">
      <c r="A483" s="3" t="s">
        <v>522</v>
      </c>
      <c r="B483" s="4">
        <v>46380.0</v>
      </c>
      <c r="C483" s="3" t="s">
        <v>14</v>
      </c>
      <c r="D483" s="3" t="s">
        <v>15</v>
      </c>
      <c r="E483" s="3" t="s">
        <v>63</v>
      </c>
      <c r="F483" s="3">
        <v>609000.0</v>
      </c>
      <c r="G483" s="3">
        <v>578550.0</v>
      </c>
      <c r="H483" s="3" t="str">
        <f t="shared" si="1"/>
        <v>Fare Increase</v>
      </c>
      <c r="I483" s="3" t="str">
        <f t="shared" si="2"/>
        <v>Issued</v>
      </c>
    </row>
    <row r="484">
      <c r="A484" s="3" t="s">
        <v>523</v>
      </c>
      <c r="B484" s="4">
        <v>46063.0</v>
      </c>
      <c r="C484" s="3" t="s">
        <v>30</v>
      </c>
      <c r="D484" s="3" t="s">
        <v>15</v>
      </c>
      <c r="E484" s="3" t="s">
        <v>232</v>
      </c>
      <c r="F484" s="3">
        <v>1671000.0</v>
      </c>
      <c r="G484" s="3">
        <v>1587450.0</v>
      </c>
      <c r="H484" s="3" t="str">
        <f t="shared" si="1"/>
        <v>Normal</v>
      </c>
      <c r="I484" s="3" t="str">
        <f t="shared" si="2"/>
        <v>Issued</v>
      </c>
    </row>
    <row r="485">
      <c r="A485" s="3" t="s">
        <v>524</v>
      </c>
      <c r="B485" s="4">
        <v>46237.0</v>
      </c>
      <c r="C485" s="3" t="s">
        <v>18</v>
      </c>
      <c r="D485" s="3" t="s">
        <v>11</v>
      </c>
      <c r="E485" s="3" t="s">
        <v>21</v>
      </c>
      <c r="F485" s="3">
        <v>4820000.0</v>
      </c>
      <c r="G485" s="3">
        <v>1.205E7</v>
      </c>
      <c r="H485" s="3" t="str">
        <f t="shared" si="1"/>
        <v>Over Buffer</v>
      </c>
      <c r="I485" s="3" t="str">
        <f t="shared" si="2"/>
        <v>Refund</v>
      </c>
    </row>
    <row r="486">
      <c r="A486" s="3" t="s">
        <v>525</v>
      </c>
      <c r="B486" s="4">
        <v>46043.0</v>
      </c>
      <c r="C486" s="3" t="s">
        <v>14</v>
      </c>
      <c r="D486" s="3" t="s">
        <v>15</v>
      </c>
      <c r="E486" s="3" t="s">
        <v>37</v>
      </c>
      <c r="F486" s="3">
        <v>617000.0</v>
      </c>
      <c r="G486" s="3">
        <v>863800.0</v>
      </c>
      <c r="H486" s="3" t="str">
        <f t="shared" si="1"/>
        <v>Fare Increase</v>
      </c>
      <c r="I486" s="3" t="str">
        <f t="shared" si="2"/>
        <v>Issued</v>
      </c>
    </row>
    <row r="487">
      <c r="A487" s="3" t="s">
        <v>526</v>
      </c>
      <c r="B487" s="4">
        <v>46030.0</v>
      </c>
      <c r="C487" s="3" t="s">
        <v>10</v>
      </c>
      <c r="D487" s="3" t="s">
        <v>11</v>
      </c>
      <c r="E487" s="3" t="s">
        <v>19</v>
      </c>
      <c r="F487" s="3">
        <v>1041000.0</v>
      </c>
      <c r="G487" s="3">
        <v>1457400.0</v>
      </c>
      <c r="H487" s="3" t="str">
        <f t="shared" si="1"/>
        <v>Over Buffer</v>
      </c>
      <c r="I487" s="3" t="str">
        <f t="shared" si="2"/>
        <v>Refund</v>
      </c>
    </row>
    <row r="488">
      <c r="A488" s="3" t="s">
        <v>527</v>
      </c>
      <c r="B488" s="4">
        <v>46342.0</v>
      </c>
      <c r="C488" s="3" t="s">
        <v>18</v>
      </c>
      <c r="D488" s="3" t="s">
        <v>11</v>
      </c>
      <c r="E488" s="3" t="s">
        <v>63</v>
      </c>
      <c r="F488" s="3">
        <v>720000.0</v>
      </c>
      <c r="G488" s="3">
        <v>1007999.9999999999</v>
      </c>
      <c r="H488" s="3" t="str">
        <f t="shared" si="1"/>
        <v>Fare Increase</v>
      </c>
      <c r="I488" s="3" t="str">
        <f t="shared" si="2"/>
        <v>Issued</v>
      </c>
    </row>
    <row r="489">
      <c r="A489" s="3" t="s">
        <v>528</v>
      </c>
      <c r="B489" s="4">
        <v>46042.0</v>
      </c>
      <c r="C489" s="3" t="s">
        <v>14</v>
      </c>
      <c r="D489" s="3" t="s">
        <v>15</v>
      </c>
      <c r="E489" s="3" t="s">
        <v>63</v>
      </c>
      <c r="F489" s="3">
        <v>1557000.0</v>
      </c>
      <c r="G489" s="3">
        <v>1790549.9999999998</v>
      </c>
      <c r="H489" s="3" t="str">
        <f t="shared" si="1"/>
        <v>Fare Increase</v>
      </c>
      <c r="I489" s="3" t="str">
        <f t="shared" si="2"/>
        <v>Issued</v>
      </c>
    </row>
    <row r="490">
      <c r="A490" s="3" t="s">
        <v>529</v>
      </c>
      <c r="B490" s="4">
        <v>46302.0</v>
      </c>
      <c r="C490" s="3" t="s">
        <v>25</v>
      </c>
      <c r="D490" s="3" t="s">
        <v>15</v>
      </c>
      <c r="E490" s="3" t="s">
        <v>42</v>
      </c>
      <c r="F490" s="3">
        <v>621000.0</v>
      </c>
      <c r="G490" s="3">
        <v>1552500.0</v>
      </c>
      <c r="H490" s="3" t="str">
        <f t="shared" si="1"/>
        <v>Fare Increase</v>
      </c>
      <c r="I490" s="3" t="str">
        <f t="shared" si="2"/>
        <v>Issued</v>
      </c>
    </row>
    <row r="491">
      <c r="A491" s="3" t="s">
        <v>530</v>
      </c>
      <c r="B491" s="4">
        <v>46378.0</v>
      </c>
      <c r="C491" s="3" t="s">
        <v>30</v>
      </c>
      <c r="D491" s="3" t="s">
        <v>15</v>
      </c>
      <c r="E491" s="3" t="s">
        <v>49</v>
      </c>
      <c r="F491" s="3">
        <v>1047000.0</v>
      </c>
      <c r="G491" s="3">
        <v>994650.0</v>
      </c>
      <c r="H491" s="3" t="str">
        <f t="shared" si="1"/>
        <v>Fare Increase</v>
      </c>
      <c r="I491" s="3" t="str">
        <f t="shared" si="2"/>
        <v>Issued</v>
      </c>
    </row>
    <row r="492">
      <c r="A492" s="3" t="s">
        <v>531</v>
      </c>
      <c r="B492" s="4">
        <v>46221.0</v>
      </c>
      <c r="C492" s="3" t="s">
        <v>10</v>
      </c>
      <c r="D492" s="3" t="s">
        <v>11</v>
      </c>
      <c r="E492" s="3" t="s">
        <v>12</v>
      </c>
      <c r="F492" s="3">
        <v>1069000.0</v>
      </c>
      <c r="G492" s="3">
        <v>1015550.0</v>
      </c>
      <c r="H492" s="3" t="str">
        <f t="shared" si="1"/>
        <v>Fare Increase</v>
      </c>
      <c r="I492" s="3" t="str">
        <f t="shared" si="2"/>
        <v>Issued</v>
      </c>
    </row>
    <row r="493">
      <c r="A493" s="3" t="s">
        <v>532</v>
      </c>
      <c r="B493" s="4">
        <v>46298.0</v>
      </c>
      <c r="C493" s="3" t="s">
        <v>25</v>
      </c>
      <c r="D493" s="3" t="s">
        <v>15</v>
      </c>
      <c r="E493" s="3" t="s">
        <v>61</v>
      </c>
      <c r="F493" s="3">
        <v>944000.0</v>
      </c>
      <c r="G493" s="3">
        <v>1321600.0</v>
      </c>
      <c r="H493" s="3" t="str">
        <f t="shared" si="1"/>
        <v>Fare Increase</v>
      </c>
      <c r="I493" s="3" t="str">
        <f t="shared" si="2"/>
        <v>Issued</v>
      </c>
    </row>
    <row r="494">
      <c r="A494" s="3" t="s">
        <v>533</v>
      </c>
      <c r="B494" s="4">
        <v>46103.0</v>
      </c>
      <c r="C494" s="3" t="s">
        <v>23</v>
      </c>
      <c r="D494" s="3" t="s">
        <v>15</v>
      </c>
      <c r="E494" s="3" t="s">
        <v>31</v>
      </c>
      <c r="F494" s="3">
        <v>1695000.0</v>
      </c>
      <c r="G494" s="3">
        <v>1949249.9999999998</v>
      </c>
      <c r="H494" s="3" t="str">
        <f t="shared" si="1"/>
        <v>Normal</v>
      </c>
      <c r="I494" s="3" t="str">
        <f t="shared" si="2"/>
        <v>Issued</v>
      </c>
    </row>
    <row r="495">
      <c r="A495" s="3" t="s">
        <v>534</v>
      </c>
      <c r="B495" s="4">
        <v>46118.0</v>
      </c>
      <c r="C495" s="3" t="s">
        <v>25</v>
      </c>
      <c r="D495" s="3" t="s">
        <v>15</v>
      </c>
      <c r="E495" s="3" t="s">
        <v>116</v>
      </c>
      <c r="F495" s="3">
        <v>2904000.0</v>
      </c>
      <c r="G495" s="3">
        <v>7260000.0</v>
      </c>
      <c r="H495" s="3" t="str">
        <f t="shared" si="1"/>
        <v>Normal</v>
      </c>
      <c r="I495" s="3" t="str">
        <f t="shared" si="2"/>
        <v>Issued</v>
      </c>
    </row>
    <row r="496">
      <c r="A496" s="3" t="s">
        <v>535</v>
      </c>
      <c r="B496" s="4">
        <v>46201.0</v>
      </c>
      <c r="C496" s="3" t="s">
        <v>25</v>
      </c>
      <c r="D496" s="3" t="s">
        <v>15</v>
      </c>
      <c r="E496" s="3" t="s">
        <v>61</v>
      </c>
      <c r="F496" s="3">
        <v>690000.0</v>
      </c>
      <c r="G496" s="3">
        <v>1725000.0</v>
      </c>
      <c r="H496" s="3" t="str">
        <f t="shared" si="1"/>
        <v>Normal</v>
      </c>
      <c r="I496" s="3" t="str">
        <f t="shared" si="2"/>
        <v>Issued</v>
      </c>
    </row>
    <row r="497">
      <c r="A497" s="3" t="s">
        <v>536</v>
      </c>
      <c r="B497" s="4">
        <v>46368.0</v>
      </c>
      <c r="C497" s="3" t="s">
        <v>25</v>
      </c>
      <c r="D497" s="3" t="s">
        <v>15</v>
      </c>
      <c r="E497" s="3" t="s">
        <v>116</v>
      </c>
      <c r="F497" s="3">
        <v>1.1064E7</v>
      </c>
      <c r="G497" s="3">
        <v>2.766E7</v>
      </c>
      <c r="H497" s="3" t="str">
        <f t="shared" si="1"/>
        <v>Fare Increase</v>
      </c>
      <c r="I497" s="3" t="str">
        <f t="shared" si="2"/>
        <v>Issued</v>
      </c>
    </row>
    <row r="498">
      <c r="A498" s="3" t="s">
        <v>537</v>
      </c>
      <c r="B498" s="4">
        <v>46042.0</v>
      </c>
      <c r="C498" s="3" t="s">
        <v>18</v>
      </c>
      <c r="D498" s="3" t="s">
        <v>11</v>
      </c>
      <c r="E498" s="3" t="s">
        <v>63</v>
      </c>
      <c r="F498" s="3">
        <v>722000.0</v>
      </c>
      <c r="G498" s="3">
        <v>1010799.9999999999</v>
      </c>
      <c r="H498" s="3" t="str">
        <f t="shared" si="1"/>
        <v>Fare Increase</v>
      </c>
      <c r="I498" s="3" t="str">
        <f t="shared" si="2"/>
        <v>Issued</v>
      </c>
    </row>
    <row r="499">
      <c r="A499" s="3" t="s">
        <v>538</v>
      </c>
      <c r="B499" s="4">
        <v>46308.0</v>
      </c>
      <c r="C499" s="3" t="s">
        <v>10</v>
      </c>
      <c r="D499" s="3" t="s">
        <v>11</v>
      </c>
      <c r="E499" s="3" t="s">
        <v>63</v>
      </c>
      <c r="F499" s="3">
        <v>763000.0</v>
      </c>
      <c r="G499" s="3">
        <v>1068200.0</v>
      </c>
      <c r="H499" s="3" t="str">
        <f t="shared" si="1"/>
        <v>Fare Increase</v>
      </c>
      <c r="I499" s="3" t="str">
        <f t="shared" si="2"/>
        <v>Issued</v>
      </c>
    </row>
    <row r="500">
      <c r="A500" s="3" t="s">
        <v>539</v>
      </c>
      <c r="B500" s="4">
        <v>46092.0</v>
      </c>
      <c r="C500" s="3" t="s">
        <v>14</v>
      </c>
      <c r="D500" s="3" t="s">
        <v>15</v>
      </c>
      <c r="E500" s="3" t="s">
        <v>63</v>
      </c>
      <c r="F500" s="3">
        <v>1429000.0</v>
      </c>
      <c r="G500" s="3">
        <v>1643349.9999999998</v>
      </c>
      <c r="H500" s="3" t="str">
        <f t="shared" si="1"/>
        <v>Fare Increase</v>
      </c>
      <c r="I500" s="3" t="str">
        <f t="shared" si="2"/>
        <v>Issued</v>
      </c>
    </row>
    <row r="501">
      <c r="A501" s="3" t="s">
        <v>540</v>
      </c>
      <c r="B501" s="4">
        <v>46122.0</v>
      </c>
      <c r="C501" s="3" t="s">
        <v>18</v>
      </c>
      <c r="D501" s="3" t="s">
        <v>11</v>
      </c>
      <c r="E501" s="3" t="s">
        <v>21</v>
      </c>
      <c r="F501" s="3">
        <v>1611000.0</v>
      </c>
      <c r="G501" s="3">
        <v>1852649.9999999998</v>
      </c>
      <c r="H501" s="3" t="str">
        <f t="shared" si="1"/>
        <v>Over Buffer</v>
      </c>
      <c r="I501" s="3" t="str">
        <f t="shared" si="2"/>
        <v>Refund</v>
      </c>
    </row>
    <row r="502">
      <c r="A502" s="3" t="s">
        <v>541</v>
      </c>
      <c r="B502" s="4">
        <v>46248.0</v>
      </c>
      <c r="C502" s="3" t="s">
        <v>23</v>
      </c>
      <c r="D502" s="3" t="s">
        <v>15</v>
      </c>
      <c r="E502" s="3" t="s">
        <v>31</v>
      </c>
      <c r="F502" s="3">
        <v>3779000.0</v>
      </c>
      <c r="G502" s="3">
        <v>3590050.0</v>
      </c>
      <c r="H502" s="3" t="str">
        <f t="shared" si="1"/>
        <v>Over Buffer</v>
      </c>
      <c r="I502" s="3" t="str">
        <f t="shared" si="2"/>
        <v>Refund</v>
      </c>
    </row>
    <row r="503">
      <c r="A503" s="3" t="s">
        <v>542</v>
      </c>
      <c r="B503" s="4">
        <v>46379.0</v>
      </c>
      <c r="C503" s="3" t="s">
        <v>30</v>
      </c>
      <c r="D503" s="3" t="s">
        <v>15</v>
      </c>
      <c r="E503" s="3" t="s">
        <v>49</v>
      </c>
      <c r="F503" s="3">
        <v>854000.0</v>
      </c>
      <c r="G503" s="3">
        <v>982099.9999999999</v>
      </c>
      <c r="H503" s="3" t="str">
        <f t="shared" si="1"/>
        <v>Fare Increase</v>
      </c>
      <c r="I503" s="3" t="str">
        <f t="shared" si="2"/>
        <v>Issued</v>
      </c>
    </row>
    <row r="504">
      <c r="A504" s="3" t="s">
        <v>543</v>
      </c>
      <c r="B504" s="4">
        <v>46046.0</v>
      </c>
      <c r="C504" s="3" t="s">
        <v>18</v>
      </c>
      <c r="D504" s="3" t="s">
        <v>11</v>
      </c>
      <c r="E504" s="3" t="s">
        <v>21</v>
      </c>
      <c r="F504" s="3">
        <v>1.0707E7</v>
      </c>
      <c r="G504" s="3">
        <v>2.67675E7</v>
      </c>
      <c r="H504" s="3" t="str">
        <f t="shared" si="1"/>
        <v>Fare Increase</v>
      </c>
      <c r="I504" s="3" t="str">
        <f t="shared" si="2"/>
        <v>Issued</v>
      </c>
    </row>
    <row r="505">
      <c r="A505" s="3" t="s">
        <v>544</v>
      </c>
      <c r="B505" s="4">
        <v>46341.0</v>
      </c>
      <c r="C505" s="3" t="s">
        <v>14</v>
      </c>
      <c r="D505" s="3" t="s">
        <v>15</v>
      </c>
      <c r="E505" s="3" t="s">
        <v>16</v>
      </c>
      <c r="F505" s="3">
        <v>1.421E7</v>
      </c>
      <c r="G505" s="3">
        <v>1.6341499999999998E7</v>
      </c>
      <c r="H505" s="3" t="str">
        <f t="shared" si="1"/>
        <v>Fare Increase</v>
      </c>
      <c r="I505" s="3" t="str">
        <f t="shared" si="2"/>
        <v>Issued</v>
      </c>
    </row>
    <row r="506">
      <c r="A506" s="3" t="s">
        <v>545</v>
      </c>
      <c r="B506" s="4">
        <v>46322.0</v>
      </c>
      <c r="C506" s="3" t="s">
        <v>23</v>
      </c>
      <c r="D506" s="3" t="s">
        <v>15</v>
      </c>
      <c r="E506" s="3" t="s">
        <v>31</v>
      </c>
      <c r="F506" s="3">
        <v>754000.0</v>
      </c>
      <c r="G506" s="3">
        <v>1055600.0</v>
      </c>
      <c r="H506" s="3" t="str">
        <f t="shared" si="1"/>
        <v>Over Buffer</v>
      </c>
      <c r="I506" s="3" t="str">
        <f t="shared" si="2"/>
        <v>Refund</v>
      </c>
    </row>
    <row r="507">
      <c r="A507" s="3" t="s">
        <v>546</v>
      </c>
      <c r="B507" s="4">
        <v>46227.0</v>
      </c>
      <c r="C507" s="3" t="s">
        <v>23</v>
      </c>
      <c r="D507" s="3" t="s">
        <v>15</v>
      </c>
      <c r="E507" s="3" t="s">
        <v>19</v>
      </c>
      <c r="F507" s="3">
        <v>994000.0</v>
      </c>
      <c r="G507" s="3">
        <v>1143100.0</v>
      </c>
      <c r="H507" s="3" t="str">
        <f t="shared" si="1"/>
        <v>Over Buffer</v>
      </c>
      <c r="I507" s="3" t="str">
        <f t="shared" si="2"/>
        <v>Refund</v>
      </c>
    </row>
    <row r="508">
      <c r="A508" s="3" t="s">
        <v>547</v>
      </c>
      <c r="B508" s="4">
        <v>46174.0</v>
      </c>
      <c r="C508" s="3" t="s">
        <v>25</v>
      </c>
      <c r="D508" s="3" t="s">
        <v>15</v>
      </c>
      <c r="E508" s="3" t="s">
        <v>42</v>
      </c>
      <c r="F508" s="3">
        <v>9144000.0</v>
      </c>
      <c r="G508" s="3">
        <v>1.28016E7</v>
      </c>
      <c r="H508" s="3" t="str">
        <f t="shared" si="1"/>
        <v>Fare Increase</v>
      </c>
      <c r="I508" s="3" t="str">
        <f t="shared" si="2"/>
        <v>Issued</v>
      </c>
    </row>
    <row r="509">
      <c r="A509" s="3" t="s">
        <v>548</v>
      </c>
      <c r="B509" s="4">
        <v>46281.0</v>
      </c>
      <c r="C509" s="3" t="s">
        <v>23</v>
      </c>
      <c r="D509" s="3" t="s">
        <v>15</v>
      </c>
      <c r="E509" s="3" t="s">
        <v>19</v>
      </c>
      <c r="F509" s="3">
        <v>1271000.0</v>
      </c>
      <c r="G509" s="3">
        <v>1779400.0</v>
      </c>
      <c r="H509" s="3" t="str">
        <f t="shared" si="1"/>
        <v>Fare Increase</v>
      </c>
      <c r="I509" s="3" t="str">
        <f t="shared" si="2"/>
        <v>Issued</v>
      </c>
    </row>
    <row r="510">
      <c r="A510" s="3" t="s">
        <v>549</v>
      </c>
      <c r="B510" s="4">
        <v>46170.0</v>
      </c>
      <c r="C510" s="3" t="s">
        <v>23</v>
      </c>
      <c r="D510" s="3" t="s">
        <v>15</v>
      </c>
      <c r="E510" s="3" t="s">
        <v>19</v>
      </c>
      <c r="F510" s="3">
        <v>479000.0</v>
      </c>
      <c r="G510" s="3">
        <v>455050.0</v>
      </c>
      <c r="H510" s="3" t="str">
        <f t="shared" si="1"/>
        <v>Over Buffer</v>
      </c>
      <c r="I510" s="3" t="str">
        <f t="shared" si="2"/>
        <v>Refund</v>
      </c>
    </row>
    <row r="511">
      <c r="A511" s="3" t="s">
        <v>550</v>
      </c>
      <c r="B511" s="4">
        <v>46076.0</v>
      </c>
      <c r="C511" s="3" t="s">
        <v>10</v>
      </c>
      <c r="D511" s="3" t="s">
        <v>11</v>
      </c>
      <c r="E511" s="3" t="s">
        <v>35</v>
      </c>
      <c r="F511" s="3">
        <v>505000.0</v>
      </c>
      <c r="G511" s="3">
        <v>1262500.0</v>
      </c>
      <c r="H511" s="3" t="str">
        <f t="shared" si="1"/>
        <v>Fare Increase</v>
      </c>
      <c r="I511" s="3" t="str">
        <f t="shared" si="2"/>
        <v>Issued</v>
      </c>
    </row>
    <row r="512">
      <c r="A512" s="3" t="s">
        <v>551</v>
      </c>
      <c r="B512" s="4">
        <v>46182.0</v>
      </c>
      <c r="C512" s="3" t="s">
        <v>30</v>
      </c>
      <c r="D512" s="3" t="s">
        <v>15</v>
      </c>
      <c r="E512" s="3" t="s">
        <v>35</v>
      </c>
      <c r="F512" s="3">
        <v>1160000.0</v>
      </c>
      <c r="G512" s="3">
        <v>1334000.0</v>
      </c>
      <c r="H512" s="3" t="str">
        <f t="shared" si="1"/>
        <v>Normal</v>
      </c>
      <c r="I512" s="3" t="str">
        <f t="shared" si="2"/>
        <v>Issued</v>
      </c>
    </row>
    <row r="513">
      <c r="A513" s="3" t="s">
        <v>552</v>
      </c>
      <c r="B513" s="4">
        <v>46292.0</v>
      </c>
      <c r="C513" s="3" t="s">
        <v>23</v>
      </c>
      <c r="D513" s="3" t="s">
        <v>15</v>
      </c>
      <c r="E513" s="3" t="s">
        <v>31</v>
      </c>
      <c r="F513" s="3">
        <v>1670000.0</v>
      </c>
      <c r="G513" s="3">
        <v>4175000.0</v>
      </c>
      <c r="H513" s="3" t="str">
        <f t="shared" si="1"/>
        <v>Normal</v>
      </c>
      <c r="I513" s="3" t="str">
        <f t="shared" si="2"/>
        <v>Issued</v>
      </c>
    </row>
    <row r="514">
      <c r="A514" s="3" t="s">
        <v>553</v>
      </c>
      <c r="B514" s="4">
        <v>46299.0</v>
      </c>
      <c r="C514" s="3" t="s">
        <v>14</v>
      </c>
      <c r="D514" s="3" t="s">
        <v>15</v>
      </c>
      <c r="E514" s="3" t="s">
        <v>16</v>
      </c>
      <c r="F514" s="3">
        <v>694000.0</v>
      </c>
      <c r="G514" s="3">
        <v>798099.9999999999</v>
      </c>
      <c r="H514" s="3" t="str">
        <f t="shared" si="1"/>
        <v>Over Buffer</v>
      </c>
      <c r="I514" s="3" t="str">
        <f t="shared" si="2"/>
        <v>Refund</v>
      </c>
    </row>
    <row r="515">
      <c r="A515" s="3" t="s">
        <v>554</v>
      </c>
      <c r="B515" s="4">
        <v>46287.0</v>
      </c>
      <c r="C515" s="3" t="s">
        <v>14</v>
      </c>
      <c r="D515" s="3" t="s">
        <v>15</v>
      </c>
      <c r="E515" s="3" t="s">
        <v>16</v>
      </c>
      <c r="F515" s="3">
        <v>1716000.0</v>
      </c>
      <c r="G515" s="3">
        <v>2402400.0</v>
      </c>
      <c r="H515" s="3" t="str">
        <f t="shared" si="1"/>
        <v>Fare Increase</v>
      </c>
      <c r="I515" s="3" t="str">
        <f t="shared" si="2"/>
        <v>Issued</v>
      </c>
    </row>
    <row r="516">
      <c r="A516" s="3" t="s">
        <v>555</v>
      </c>
      <c r="B516" s="4">
        <v>46143.0</v>
      </c>
      <c r="C516" s="3" t="s">
        <v>25</v>
      </c>
      <c r="D516" s="3" t="s">
        <v>15</v>
      </c>
      <c r="E516" s="3" t="s">
        <v>42</v>
      </c>
      <c r="F516" s="3">
        <v>1418000.0</v>
      </c>
      <c r="G516" s="3">
        <v>1985199.9999999998</v>
      </c>
      <c r="H516" s="3" t="str">
        <f t="shared" si="1"/>
        <v>Fare Increase</v>
      </c>
      <c r="I516" s="3" t="str">
        <f t="shared" si="2"/>
        <v>Issued</v>
      </c>
    </row>
    <row r="517">
      <c r="A517" s="3" t="s">
        <v>556</v>
      </c>
      <c r="B517" s="4">
        <v>46270.0</v>
      </c>
      <c r="C517" s="3" t="s">
        <v>23</v>
      </c>
      <c r="D517" s="3" t="s">
        <v>15</v>
      </c>
      <c r="E517" s="3" t="s">
        <v>31</v>
      </c>
      <c r="F517" s="3">
        <v>1.2843E7</v>
      </c>
      <c r="G517" s="3">
        <v>1.4769449999999998E7</v>
      </c>
      <c r="H517" s="3" t="str">
        <f t="shared" si="1"/>
        <v>Fare Increase</v>
      </c>
      <c r="I517" s="3" t="str">
        <f t="shared" si="2"/>
        <v>Issued</v>
      </c>
    </row>
    <row r="518">
      <c r="A518" s="3" t="s">
        <v>557</v>
      </c>
      <c r="B518" s="4">
        <v>46073.0</v>
      </c>
      <c r="C518" s="3" t="s">
        <v>14</v>
      </c>
      <c r="D518" s="3" t="s">
        <v>15</v>
      </c>
      <c r="E518" s="3" t="s">
        <v>63</v>
      </c>
      <c r="F518" s="3">
        <v>517000.0</v>
      </c>
      <c r="G518" s="3">
        <v>723800.0</v>
      </c>
      <c r="H518" s="3" t="str">
        <f t="shared" si="1"/>
        <v>Normal</v>
      </c>
      <c r="I518" s="3" t="str">
        <f t="shared" si="2"/>
        <v>Issued</v>
      </c>
    </row>
    <row r="519">
      <c r="A519" s="3" t="s">
        <v>558</v>
      </c>
      <c r="B519" s="4">
        <v>46209.0</v>
      </c>
      <c r="C519" s="3" t="s">
        <v>23</v>
      </c>
      <c r="D519" s="3" t="s">
        <v>15</v>
      </c>
      <c r="E519" s="3" t="s">
        <v>33</v>
      </c>
      <c r="F519" s="3">
        <v>1328000.0</v>
      </c>
      <c r="G519" s="3">
        <v>1527199.9999999998</v>
      </c>
      <c r="H519" s="3" t="str">
        <f t="shared" si="1"/>
        <v>Fare Increase</v>
      </c>
      <c r="I519" s="3" t="str">
        <f t="shared" si="2"/>
        <v>Issued</v>
      </c>
    </row>
    <row r="520">
      <c r="A520" s="3" t="s">
        <v>559</v>
      </c>
      <c r="B520" s="4">
        <v>46329.0</v>
      </c>
      <c r="C520" s="3" t="s">
        <v>25</v>
      </c>
      <c r="D520" s="3" t="s">
        <v>15</v>
      </c>
      <c r="E520" s="3" t="s">
        <v>116</v>
      </c>
      <c r="F520" s="3">
        <v>5184000.0</v>
      </c>
      <c r="G520" s="3">
        <v>4924800.0</v>
      </c>
      <c r="H520" s="3" t="str">
        <f t="shared" si="1"/>
        <v>Normal</v>
      </c>
      <c r="I520" s="3" t="str">
        <f t="shared" si="2"/>
        <v>Issued</v>
      </c>
    </row>
    <row r="521">
      <c r="A521" s="3" t="s">
        <v>560</v>
      </c>
      <c r="B521" s="4">
        <v>46126.0</v>
      </c>
      <c r="C521" s="3" t="s">
        <v>10</v>
      </c>
      <c r="D521" s="3" t="s">
        <v>11</v>
      </c>
      <c r="E521" s="3" t="s">
        <v>12</v>
      </c>
      <c r="F521" s="3">
        <v>1559000.0</v>
      </c>
      <c r="G521" s="3">
        <v>1481050.0</v>
      </c>
      <c r="H521" s="3" t="str">
        <f t="shared" si="1"/>
        <v>Fare Increase</v>
      </c>
      <c r="I521" s="3" t="str">
        <f t="shared" si="2"/>
        <v>Issued</v>
      </c>
    </row>
    <row r="522">
      <c r="A522" s="3" t="s">
        <v>561</v>
      </c>
      <c r="B522" s="4">
        <v>46237.0</v>
      </c>
      <c r="C522" s="3" t="s">
        <v>30</v>
      </c>
      <c r="D522" s="3" t="s">
        <v>15</v>
      </c>
      <c r="E522" s="3" t="s">
        <v>100</v>
      </c>
      <c r="F522" s="3">
        <v>8499000.0</v>
      </c>
      <c r="G522" s="3">
        <v>8074050.0</v>
      </c>
      <c r="H522" s="3" t="str">
        <f t="shared" si="1"/>
        <v>Normal</v>
      </c>
      <c r="I522" s="3" t="str">
        <f t="shared" si="2"/>
        <v>Issued</v>
      </c>
    </row>
    <row r="523">
      <c r="A523" s="3" t="s">
        <v>562</v>
      </c>
      <c r="B523" s="4">
        <v>46293.0</v>
      </c>
      <c r="C523" s="3" t="s">
        <v>10</v>
      </c>
      <c r="D523" s="3" t="s">
        <v>11</v>
      </c>
      <c r="E523" s="3" t="s">
        <v>63</v>
      </c>
      <c r="F523" s="3">
        <v>516000.0</v>
      </c>
      <c r="G523" s="3">
        <v>722400.0</v>
      </c>
      <c r="H523" s="3" t="str">
        <f t="shared" si="1"/>
        <v>Over Buffer</v>
      </c>
      <c r="I523" s="3" t="str">
        <f t="shared" si="2"/>
        <v>Refund</v>
      </c>
    </row>
    <row r="524">
      <c r="A524" s="3" t="s">
        <v>563</v>
      </c>
      <c r="B524" s="4">
        <v>46060.0</v>
      </c>
      <c r="C524" s="3" t="s">
        <v>25</v>
      </c>
      <c r="D524" s="3" t="s">
        <v>15</v>
      </c>
      <c r="E524" s="3" t="s">
        <v>42</v>
      </c>
      <c r="F524" s="3">
        <v>708000.0</v>
      </c>
      <c r="G524" s="3">
        <v>814199.9999999999</v>
      </c>
      <c r="H524" s="3" t="str">
        <f t="shared" si="1"/>
        <v>Fare Increase</v>
      </c>
      <c r="I524" s="3" t="str">
        <f t="shared" si="2"/>
        <v>Issued</v>
      </c>
    </row>
    <row r="525">
      <c r="A525" s="3" t="s">
        <v>564</v>
      </c>
      <c r="B525" s="4">
        <v>46084.0</v>
      </c>
      <c r="C525" s="3" t="s">
        <v>30</v>
      </c>
      <c r="D525" s="3" t="s">
        <v>15</v>
      </c>
      <c r="E525" s="3" t="s">
        <v>37</v>
      </c>
      <c r="F525" s="3">
        <v>730000.0</v>
      </c>
      <c r="G525" s="3">
        <v>839499.9999999999</v>
      </c>
      <c r="H525" s="3" t="str">
        <f t="shared" si="1"/>
        <v>Normal</v>
      </c>
      <c r="I525" s="3" t="str">
        <f t="shared" si="2"/>
        <v>Issued</v>
      </c>
    </row>
    <row r="526">
      <c r="A526" s="3" t="s">
        <v>565</v>
      </c>
      <c r="B526" s="4">
        <v>46166.0</v>
      </c>
      <c r="C526" s="3" t="s">
        <v>25</v>
      </c>
      <c r="D526" s="3" t="s">
        <v>15</v>
      </c>
      <c r="E526" s="3" t="s">
        <v>26</v>
      </c>
      <c r="F526" s="3">
        <v>5162000.0</v>
      </c>
      <c r="G526" s="3">
        <v>5936300.0</v>
      </c>
      <c r="H526" s="3" t="str">
        <f t="shared" si="1"/>
        <v>Normal</v>
      </c>
      <c r="I526" s="3" t="str">
        <f t="shared" si="2"/>
        <v>Issued</v>
      </c>
    </row>
    <row r="527">
      <c r="A527" s="3" t="s">
        <v>566</v>
      </c>
      <c r="B527" s="4">
        <v>46219.0</v>
      </c>
      <c r="C527" s="3" t="s">
        <v>25</v>
      </c>
      <c r="D527" s="3" t="s">
        <v>15</v>
      </c>
      <c r="E527" s="3" t="s">
        <v>42</v>
      </c>
      <c r="F527" s="3">
        <v>2144000.0</v>
      </c>
      <c r="G527" s="3">
        <v>5360000.0</v>
      </c>
      <c r="H527" s="3" t="str">
        <f t="shared" si="1"/>
        <v>Normal</v>
      </c>
      <c r="I527" s="3" t="str">
        <f t="shared" si="2"/>
        <v>Issued</v>
      </c>
    </row>
    <row r="528">
      <c r="A528" s="3" t="s">
        <v>567</v>
      </c>
      <c r="B528" s="4">
        <v>46068.0</v>
      </c>
      <c r="C528" s="3" t="s">
        <v>18</v>
      </c>
      <c r="D528" s="3" t="s">
        <v>11</v>
      </c>
      <c r="E528" s="3" t="s">
        <v>19</v>
      </c>
      <c r="F528" s="3">
        <v>1.4738E7</v>
      </c>
      <c r="G528" s="3">
        <v>3.6845E7</v>
      </c>
      <c r="H528" s="3" t="str">
        <f t="shared" si="1"/>
        <v>Normal</v>
      </c>
      <c r="I528" s="3" t="str">
        <f t="shared" si="2"/>
        <v>Issued</v>
      </c>
    </row>
    <row r="529">
      <c r="A529" s="3" t="s">
        <v>568</v>
      </c>
      <c r="B529" s="4">
        <v>46332.0</v>
      </c>
      <c r="C529" s="3" t="s">
        <v>14</v>
      </c>
      <c r="D529" s="3" t="s">
        <v>15</v>
      </c>
      <c r="E529" s="3" t="s">
        <v>63</v>
      </c>
      <c r="F529" s="3">
        <v>1.4657E7</v>
      </c>
      <c r="G529" s="3">
        <v>1.685555E7</v>
      </c>
      <c r="H529" s="3" t="str">
        <f t="shared" si="1"/>
        <v>Normal</v>
      </c>
      <c r="I529" s="3" t="str">
        <f t="shared" si="2"/>
        <v>Issued</v>
      </c>
    </row>
    <row r="530">
      <c r="A530" s="3" t="s">
        <v>569</v>
      </c>
      <c r="B530" s="4">
        <v>46304.0</v>
      </c>
      <c r="C530" s="3" t="s">
        <v>18</v>
      </c>
      <c r="D530" s="3" t="s">
        <v>11</v>
      </c>
      <c r="E530" s="3" t="s">
        <v>12</v>
      </c>
      <c r="F530" s="3">
        <v>1.3087E7</v>
      </c>
      <c r="G530" s="3">
        <v>1.83218E7</v>
      </c>
      <c r="H530" s="3" t="str">
        <f t="shared" si="1"/>
        <v>Normal</v>
      </c>
      <c r="I530" s="3" t="str">
        <f t="shared" si="2"/>
        <v>Issued</v>
      </c>
    </row>
    <row r="531">
      <c r="A531" s="3" t="s">
        <v>570</v>
      </c>
      <c r="B531" s="4">
        <v>46113.0</v>
      </c>
      <c r="C531" s="3" t="s">
        <v>10</v>
      </c>
      <c r="D531" s="3" t="s">
        <v>11</v>
      </c>
      <c r="E531" s="3" t="s">
        <v>21</v>
      </c>
      <c r="F531" s="3">
        <v>3845000.0</v>
      </c>
      <c r="G531" s="3">
        <v>5383000.0</v>
      </c>
      <c r="H531" s="3" t="str">
        <f t="shared" si="1"/>
        <v>Normal</v>
      </c>
      <c r="I531" s="3" t="str">
        <f t="shared" si="2"/>
        <v>Issued</v>
      </c>
    </row>
    <row r="532">
      <c r="A532" s="3" t="s">
        <v>571</v>
      </c>
      <c r="B532" s="4">
        <v>46080.0</v>
      </c>
      <c r="C532" s="3" t="s">
        <v>14</v>
      </c>
      <c r="D532" s="3" t="s">
        <v>15</v>
      </c>
      <c r="E532" s="3" t="s">
        <v>16</v>
      </c>
      <c r="F532" s="3">
        <v>9985000.0</v>
      </c>
      <c r="G532" s="3">
        <v>2.49625E7</v>
      </c>
      <c r="H532" s="3" t="str">
        <f t="shared" si="1"/>
        <v>Normal</v>
      </c>
      <c r="I532" s="3" t="str">
        <f t="shared" si="2"/>
        <v>Issued</v>
      </c>
    </row>
    <row r="533">
      <c r="A533" s="3" t="s">
        <v>572</v>
      </c>
      <c r="B533" s="4">
        <v>46131.0</v>
      </c>
      <c r="C533" s="3" t="s">
        <v>14</v>
      </c>
      <c r="D533" s="3" t="s">
        <v>15</v>
      </c>
      <c r="E533" s="3" t="s">
        <v>16</v>
      </c>
      <c r="F533" s="3">
        <v>6814000.0</v>
      </c>
      <c r="G533" s="3">
        <v>1.7035E7</v>
      </c>
      <c r="H533" s="3" t="str">
        <f t="shared" si="1"/>
        <v>Normal</v>
      </c>
      <c r="I533" s="3" t="str">
        <f t="shared" si="2"/>
        <v>Issued</v>
      </c>
    </row>
    <row r="534">
      <c r="A534" s="3" t="s">
        <v>573</v>
      </c>
      <c r="B534" s="4">
        <v>46075.0</v>
      </c>
      <c r="C534" s="3" t="s">
        <v>18</v>
      </c>
      <c r="D534" s="3" t="s">
        <v>11</v>
      </c>
      <c r="E534" s="3" t="s">
        <v>63</v>
      </c>
      <c r="F534" s="3">
        <v>9615000.0</v>
      </c>
      <c r="G534" s="3">
        <v>1.3461E7</v>
      </c>
      <c r="H534" s="3" t="str">
        <f t="shared" si="1"/>
        <v>Normal</v>
      </c>
      <c r="I534" s="3" t="str">
        <f t="shared" si="2"/>
        <v>Issued</v>
      </c>
    </row>
    <row r="535">
      <c r="A535" s="3" t="s">
        <v>574</v>
      </c>
      <c r="B535" s="4">
        <v>46189.0</v>
      </c>
      <c r="C535" s="3" t="s">
        <v>30</v>
      </c>
      <c r="D535" s="3" t="s">
        <v>15</v>
      </c>
      <c r="E535" s="3" t="s">
        <v>37</v>
      </c>
      <c r="F535" s="3">
        <v>1.0192E7</v>
      </c>
      <c r="G535" s="3">
        <v>1.17208E7</v>
      </c>
      <c r="H535" s="3" t="str">
        <f t="shared" si="1"/>
        <v>Normal</v>
      </c>
      <c r="I535" s="3" t="str">
        <f t="shared" si="2"/>
        <v>Issued</v>
      </c>
    </row>
    <row r="536">
      <c r="A536" s="3" t="s">
        <v>575</v>
      </c>
      <c r="B536" s="4">
        <v>46063.0</v>
      </c>
      <c r="C536" s="3" t="s">
        <v>14</v>
      </c>
      <c r="D536" s="3" t="s">
        <v>15</v>
      </c>
      <c r="E536" s="3" t="s">
        <v>37</v>
      </c>
      <c r="F536" s="3">
        <v>5603000.0</v>
      </c>
      <c r="G536" s="3">
        <v>1.40075E7</v>
      </c>
      <c r="H536" s="3" t="str">
        <f t="shared" si="1"/>
        <v>Normal</v>
      </c>
      <c r="I536" s="3" t="str">
        <f t="shared" si="2"/>
        <v>Issued</v>
      </c>
    </row>
    <row r="537">
      <c r="A537" s="3" t="s">
        <v>576</v>
      </c>
      <c r="B537" s="4">
        <v>46174.0</v>
      </c>
      <c r="C537" s="3" t="s">
        <v>25</v>
      </c>
      <c r="D537" s="3" t="s">
        <v>15</v>
      </c>
      <c r="E537" s="3" t="s">
        <v>61</v>
      </c>
      <c r="F537" s="3">
        <v>3218000.0</v>
      </c>
      <c r="G537" s="3">
        <v>3700699.9999999995</v>
      </c>
      <c r="H537" s="3" t="str">
        <f t="shared" si="1"/>
        <v>Normal</v>
      </c>
      <c r="I537" s="3" t="str">
        <f t="shared" si="2"/>
        <v>Issued</v>
      </c>
    </row>
    <row r="538">
      <c r="A538" s="3" t="s">
        <v>577</v>
      </c>
      <c r="B538" s="4">
        <v>46148.0</v>
      </c>
      <c r="C538" s="3" t="s">
        <v>14</v>
      </c>
      <c r="D538" s="3" t="s">
        <v>15</v>
      </c>
      <c r="E538" s="3" t="s">
        <v>37</v>
      </c>
      <c r="F538" s="3">
        <v>1.0628E7</v>
      </c>
      <c r="G538" s="3">
        <v>1.00966E7</v>
      </c>
      <c r="H538" s="3" t="str">
        <f t="shared" si="1"/>
        <v>Normal</v>
      </c>
      <c r="I538" s="3" t="str">
        <f t="shared" si="2"/>
        <v>Issued</v>
      </c>
    </row>
    <row r="539">
      <c r="A539" s="3" t="s">
        <v>578</v>
      </c>
      <c r="B539" s="4">
        <v>46350.0</v>
      </c>
      <c r="C539" s="3" t="s">
        <v>30</v>
      </c>
      <c r="D539" s="3" t="s">
        <v>15</v>
      </c>
      <c r="E539" s="3" t="s">
        <v>579</v>
      </c>
      <c r="F539" s="3">
        <v>1.0008E7</v>
      </c>
      <c r="G539" s="3">
        <v>9507600.0</v>
      </c>
      <c r="H539" s="3" t="str">
        <f t="shared" si="1"/>
        <v>Normal</v>
      </c>
      <c r="I539" s="3" t="str">
        <f t="shared" si="2"/>
        <v>Issued</v>
      </c>
    </row>
    <row r="540">
      <c r="A540" s="3" t="s">
        <v>580</v>
      </c>
      <c r="B540" s="4">
        <v>46036.0</v>
      </c>
      <c r="C540" s="3" t="s">
        <v>25</v>
      </c>
      <c r="D540" s="3" t="s">
        <v>15</v>
      </c>
      <c r="E540" s="3" t="s">
        <v>26</v>
      </c>
      <c r="F540" s="3">
        <v>4392000.0</v>
      </c>
      <c r="G540" s="3">
        <v>1.098E7</v>
      </c>
      <c r="H540" s="3" t="str">
        <f t="shared" si="1"/>
        <v>Normal</v>
      </c>
      <c r="I540" s="3" t="str">
        <f t="shared" si="2"/>
        <v>Issued</v>
      </c>
    </row>
    <row r="541">
      <c r="A541" s="3" t="s">
        <v>581</v>
      </c>
      <c r="B541" s="4">
        <v>46181.0</v>
      </c>
      <c r="C541" s="3" t="s">
        <v>23</v>
      </c>
      <c r="D541" s="3" t="s">
        <v>15</v>
      </c>
      <c r="E541" s="3" t="s">
        <v>31</v>
      </c>
      <c r="F541" s="3">
        <v>1.4193E7</v>
      </c>
      <c r="G541" s="3">
        <v>1.6321949999999998E7</v>
      </c>
      <c r="H541" s="3" t="str">
        <f t="shared" si="1"/>
        <v>Normal</v>
      </c>
      <c r="I541" s="3" t="str">
        <f t="shared" si="2"/>
        <v>Issued</v>
      </c>
    </row>
    <row r="542">
      <c r="A542" s="3" t="s">
        <v>582</v>
      </c>
      <c r="B542" s="4">
        <v>46241.0</v>
      </c>
      <c r="C542" s="3" t="s">
        <v>30</v>
      </c>
      <c r="D542" s="3" t="s">
        <v>15</v>
      </c>
      <c r="E542" s="3" t="s">
        <v>12</v>
      </c>
      <c r="F542" s="3">
        <v>1.0604E7</v>
      </c>
      <c r="G542" s="3">
        <v>1.2194599999999998E7</v>
      </c>
      <c r="H542" s="3" t="str">
        <f t="shared" si="1"/>
        <v>Normal</v>
      </c>
      <c r="I542" s="3" t="str">
        <f t="shared" si="2"/>
        <v>Issued</v>
      </c>
    </row>
    <row r="543">
      <c r="A543" s="3" t="s">
        <v>583</v>
      </c>
      <c r="B543" s="4">
        <v>46238.0</v>
      </c>
      <c r="C543" s="3" t="s">
        <v>10</v>
      </c>
      <c r="D543" s="3" t="s">
        <v>11</v>
      </c>
      <c r="E543" s="3" t="s">
        <v>63</v>
      </c>
      <c r="F543" s="3">
        <v>5624000.0</v>
      </c>
      <c r="G543" s="3">
        <v>6467599.999999999</v>
      </c>
      <c r="H543" s="3" t="str">
        <f t="shared" si="1"/>
        <v>Normal</v>
      </c>
      <c r="I543" s="3" t="str">
        <f t="shared" si="2"/>
        <v>Issued</v>
      </c>
    </row>
    <row r="544">
      <c r="A544" s="3" t="s">
        <v>584</v>
      </c>
      <c r="B544" s="4">
        <v>46344.0</v>
      </c>
      <c r="C544" s="3" t="s">
        <v>25</v>
      </c>
      <c r="D544" s="3" t="s">
        <v>15</v>
      </c>
      <c r="E544" s="3" t="s">
        <v>116</v>
      </c>
      <c r="F544" s="3">
        <v>4373000.0</v>
      </c>
      <c r="G544" s="3">
        <v>4154350.0</v>
      </c>
      <c r="H544" s="3" t="str">
        <f t="shared" si="1"/>
        <v>Normal</v>
      </c>
      <c r="I544" s="3" t="str">
        <f t="shared" si="2"/>
        <v>Issued</v>
      </c>
    </row>
    <row r="545">
      <c r="A545" s="3" t="s">
        <v>585</v>
      </c>
      <c r="B545" s="4">
        <v>46127.0</v>
      </c>
      <c r="C545" s="3" t="s">
        <v>14</v>
      </c>
      <c r="D545" s="3" t="s">
        <v>15</v>
      </c>
      <c r="E545" s="3" t="s">
        <v>37</v>
      </c>
      <c r="F545" s="3">
        <v>7969000.0</v>
      </c>
      <c r="G545" s="3">
        <v>1.11566E7</v>
      </c>
      <c r="H545" s="3" t="str">
        <f t="shared" si="1"/>
        <v>Normal</v>
      </c>
      <c r="I545" s="3" t="str">
        <f t="shared" si="2"/>
        <v>Issued</v>
      </c>
    </row>
    <row r="546">
      <c r="A546" s="3" t="s">
        <v>586</v>
      </c>
      <c r="B546" s="4">
        <v>46137.0</v>
      </c>
      <c r="C546" s="3" t="s">
        <v>18</v>
      </c>
      <c r="D546" s="3" t="s">
        <v>11</v>
      </c>
      <c r="E546" s="3" t="s">
        <v>12</v>
      </c>
      <c r="F546" s="3">
        <v>9091000.0</v>
      </c>
      <c r="G546" s="3">
        <v>8636450.0</v>
      </c>
      <c r="H546" s="3" t="str">
        <f t="shared" si="1"/>
        <v>Normal</v>
      </c>
      <c r="I546" s="3" t="str">
        <f t="shared" si="2"/>
        <v>Issued</v>
      </c>
    </row>
    <row r="547">
      <c r="A547" s="3" t="s">
        <v>587</v>
      </c>
      <c r="B547" s="4">
        <v>46072.0</v>
      </c>
      <c r="C547" s="3" t="s">
        <v>30</v>
      </c>
      <c r="D547" s="3" t="s">
        <v>15</v>
      </c>
      <c r="E547" s="3" t="s">
        <v>33</v>
      </c>
      <c r="F547" s="3">
        <v>2542000.0</v>
      </c>
      <c r="G547" s="3">
        <v>3558800.0</v>
      </c>
      <c r="H547" s="3" t="str">
        <f t="shared" si="1"/>
        <v>Normal</v>
      </c>
      <c r="I547" s="3" t="str">
        <f t="shared" si="2"/>
        <v>Issued</v>
      </c>
    </row>
    <row r="548">
      <c r="A548" s="3" t="s">
        <v>588</v>
      </c>
      <c r="B548" s="4">
        <v>46161.0</v>
      </c>
      <c r="C548" s="3" t="s">
        <v>10</v>
      </c>
      <c r="D548" s="3" t="s">
        <v>11</v>
      </c>
      <c r="E548" s="3" t="s">
        <v>12</v>
      </c>
      <c r="F548" s="3">
        <v>2529000.0</v>
      </c>
      <c r="G548" s="3">
        <v>2402550.0</v>
      </c>
      <c r="H548" s="3" t="str">
        <f t="shared" si="1"/>
        <v>Normal</v>
      </c>
      <c r="I548" s="3" t="str">
        <f t="shared" si="2"/>
        <v>Issued</v>
      </c>
    </row>
    <row r="549">
      <c r="A549" s="3" t="s">
        <v>589</v>
      </c>
      <c r="B549" s="4">
        <v>46028.0</v>
      </c>
      <c r="C549" s="3" t="s">
        <v>14</v>
      </c>
      <c r="D549" s="3" t="s">
        <v>15</v>
      </c>
      <c r="E549" s="3" t="s">
        <v>63</v>
      </c>
      <c r="F549" s="3">
        <v>4399000.0</v>
      </c>
      <c r="G549" s="3">
        <v>1.09975E7</v>
      </c>
      <c r="H549" s="3" t="str">
        <f t="shared" si="1"/>
        <v>Normal</v>
      </c>
      <c r="I549" s="3" t="str">
        <f t="shared" si="2"/>
        <v>Issued</v>
      </c>
    </row>
    <row r="550">
      <c r="A550" s="3" t="s">
        <v>590</v>
      </c>
      <c r="B550" s="4">
        <v>46150.0</v>
      </c>
      <c r="C550" s="3" t="s">
        <v>23</v>
      </c>
      <c r="D550" s="3" t="s">
        <v>15</v>
      </c>
      <c r="E550" s="3" t="s">
        <v>19</v>
      </c>
      <c r="F550" s="3">
        <v>4828000.0</v>
      </c>
      <c r="G550" s="3">
        <v>6759200.0</v>
      </c>
      <c r="H550" s="3" t="str">
        <f t="shared" si="1"/>
        <v>Normal</v>
      </c>
      <c r="I550" s="3" t="str">
        <f t="shared" si="2"/>
        <v>Issued</v>
      </c>
    </row>
    <row r="551">
      <c r="A551" s="3" t="s">
        <v>591</v>
      </c>
      <c r="B551" s="4">
        <v>46156.0</v>
      </c>
      <c r="C551" s="3" t="s">
        <v>30</v>
      </c>
      <c r="D551" s="3" t="s">
        <v>15</v>
      </c>
      <c r="E551" s="3" t="s">
        <v>579</v>
      </c>
      <c r="F551" s="3">
        <v>3423000.0</v>
      </c>
      <c r="G551" s="3">
        <v>3251850.0</v>
      </c>
      <c r="H551" s="3" t="str">
        <f t="shared" si="1"/>
        <v>Normal</v>
      </c>
      <c r="I551" s="3" t="str">
        <f t="shared" si="2"/>
        <v>Issued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17.0"/>
    <col customWidth="1" min="4" max="5" width="14.88"/>
    <col customWidth="1" min="6" max="6" width="10.25"/>
    <col customWidth="1" min="7" max="7" width="17.13"/>
    <col customWidth="1" min="8" max="9" width="20.75"/>
    <col customWidth="1" min="10" max="11" width="15.88"/>
    <col customWidth="1" min="13" max="13" width="18.5"/>
    <col customWidth="1" min="15" max="15" width="13.63"/>
  </cols>
  <sheetData>
    <row r="1">
      <c r="A1" s="5" t="s">
        <v>0</v>
      </c>
      <c r="B1" s="6" t="s">
        <v>1</v>
      </c>
      <c r="C1" s="7" t="s">
        <v>592</v>
      </c>
      <c r="D1" s="6" t="s">
        <v>2</v>
      </c>
      <c r="E1" s="6" t="s">
        <v>3</v>
      </c>
      <c r="F1" s="6" t="s">
        <v>4</v>
      </c>
      <c r="G1" s="8" t="s">
        <v>593</v>
      </c>
      <c r="H1" s="9" t="s">
        <v>5</v>
      </c>
      <c r="I1" s="9" t="s">
        <v>6</v>
      </c>
      <c r="J1" s="7" t="s">
        <v>594</v>
      </c>
      <c r="K1" s="7" t="s">
        <v>595</v>
      </c>
      <c r="L1" s="6" t="s">
        <v>7</v>
      </c>
      <c r="M1" s="7" t="s">
        <v>596</v>
      </c>
      <c r="N1" s="8" t="s">
        <v>8</v>
      </c>
      <c r="O1" s="8" t="s">
        <v>597</v>
      </c>
      <c r="P1" s="8" t="s">
        <v>598</v>
      </c>
      <c r="Q1" s="8" t="s">
        <v>599</v>
      </c>
      <c r="R1" s="8" t="s">
        <v>600</v>
      </c>
    </row>
    <row r="2">
      <c r="A2" s="3" t="s">
        <v>9</v>
      </c>
      <c r="B2" s="4">
        <v>46360.0</v>
      </c>
      <c r="C2" s="4" t="str">
        <f t="shared" ref="C2:C551" si="1">TEXT(B2,"mmmm")</f>
        <v>December</v>
      </c>
      <c r="D2" s="3" t="s">
        <v>10</v>
      </c>
      <c r="E2" s="3" t="s">
        <v>11</v>
      </c>
      <c r="F2" s="3" t="s">
        <v>12</v>
      </c>
      <c r="G2" s="3" t="str">
        <f>VLOOKUP(F2, 'KODE PESAWAT'!$A$2:$C$42, 3, FALSE)</f>
        <v>AirAsia Group</v>
      </c>
      <c r="H2" s="10">
        <v>1155000.0</v>
      </c>
      <c r="I2" s="10">
        <v>1328250.0</v>
      </c>
      <c r="J2" s="10">
        <f t="shared" ref="J2:J551" si="2">H2-I2</f>
        <v>-173250</v>
      </c>
      <c r="K2" s="11">
        <f t="shared" ref="K2:K551" si="3">(H2-I2)/H2</f>
        <v>-0.15</v>
      </c>
      <c r="L2" s="3" t="str">
        <f t="shared" ref="L2:L551" si="4">IFS(I2&lt;=H2, "Normal", I2&lt;=(H2*2), "Fare Increase", TRUE, "Over Buffer")</f>
        <v>Fare Increase</v>
      </c>
      <c r="M2" s="10">
        <f t="shared" ref="M2:M551" si="5">IF(L2="OVER BUFFER",-H2,I2-H2)</f>
        <v>173250</v>
      </c>
      <c r="N2" s="3" t="str">
        <f t="shared" ref="N2:N551" si="6">IFS(OR(L2="Fare Increase", L2="Normal"), "Issued", L2="Over Buffer", "Refund", L2="Refund", "N/A")</f>
        <v>Issued</v>
      </c>
      <c r="O2" s="3" t="str">
        <f t="shared" ref="O2:O551" si="7">IFS(L2="OVER BUFFER","N/A",L2="FARE INCREASE","LOSS",L2="NORMAL","PROFIT",1,0)</f>
        <v>LOSS</v>
      </c>
      <c r="P2" s="3">
        <f t="shared" ref="P2:P551" si="8">IF(N2="ISSUED",1,0)</f>
        <v>1</v>
      </c>
      <c r="Q2" s="3">
        <f t="shared" ref="Q2:Q551" si="9">IF(O2="PROFIT",1,0)</f>
        <v>0</v>
      </c>
      <c r="R2" s="12">
        <f t="shared" ref="R2:R551" si="10">IF(N2="REFUND",1,0)</f>
        <v>0</v>
      </c>
    </row>
    <row r="3">
      <c r="A3" s="3" t="s">
        <v>13</v>
      </c>
      <c r="B3" s="4">
        <v>46256.0</v>
      </c>
      <c r="C3" s="4" t="str">
        <f t="shared" si="1"/>
        <v>August</v>
      </c>
      <c r="D3" s="3" t="s">
        <v>14</v>
      </c>
      <c r="E3" s="3" t="s">
        <v>15</v>
      </c>
      <c r="F3" s="3" t="s">
        <v>16</v>
      </c>
      <c r="G3" s="3" t="str">
        <f>VLOOKUP(F3, 'KODE PESAWAT'!$A$2:$C$42, 3, FALSE)</f>
        <v>Thai Airways Group (Associate)</v>
      </c>
      <c r="H3" s="10">
        <v>2034000.0</v>
      </c>
      <c r="I3" s="10">
        <v>2847600.0</v>
      </c>
      <c r="J3" s="10">
        <f t="shared" si="2"/>
        <v>-813600</v>
      </c>
      <c r="K3" s="11">
        <f t="shared" si="3"/>
        <v>-0.4</v>
      </c>
      <c r="L3" s="3" t="str">
        <f t="shared" si="4"/>
        <v>Fare Increase</v>
      </c>
      <c r="M3" s="10">
        <f t="shared" si="5"/>
        <v>813600</v>
      </c>
      <c r="N3" s="3" t="str">
        <f t="shared" si="6"/>
        <v>Issued</v>
      </c>
      <c r="O3" s="3" t="str">
        <f t="shared" si="7"/>
        <v>LOSS</v>
      </c>
      <c r="P3" s="3">
        <f t="shared" si="8"/>
        <v>1</v>
      </c>
      <c r="Q3" s="3">
        <f t="shared" si="9"/>
        <v>0</v>
      </c>
      <c r="R3" s="12">
        <f t="shared" si="10"/>
        <v>0</v>
      </c>
    </row>
    <row r="4">
      <c r="A4" s="3" t="s">
        <v>17</v>
      </c>
      <c r="B4" s="4">
        <v>46124.0</v>
      </c>
      <c r="C4" s="4" t="str">
        <f t="shared" si="1"/>
        <v>April</v>
      </c>
      <c r="D4" s="3" t="s">
        <v>18</v>
      </c>
      <c r="E4" s="3" t="s">
        <v>11</v>
      </c>
      <c r="F4" s="3" t="s">
        <v>19</v>
      </c>
      <c r="G4" s="3" t="str">
        <f>VLOOKUP(F4, 'KODE PESAWAT'!$A$2:$C$42, 3, FALSE)</f>
        <v>Lion Air Group</v>
      </c>
      <c r="H4" s="10">
        <v>820000.0</v>
      </c>
      <c r="I4" s="10">
        <v>1148000.0</v>
      </c>
      <c r="J4" s="10">
        <f t="shared" si="2"/>
        <v>-328000</v>
      </c>
      <c r="K4" s="11">
        <f t="shared" si="3"/>
        <v>-0.4</v>
      </c>
      <c r="L4" s="3" t="str">
        <f t="shared" si="4"/>
        <v>Fare Increase</v>
      </c>
      <c r="M4" s="10">
        <f t="shared" si="5"/>
        <v>328000</v>
      </c>
      <c r="N4" s="3" t="str">
        <f t="shared" si="6"/>
        <v>Issued</v>
      </c>
      <c r="O4" s="3" t="str">
        <f t="shared" si="7"/>
        <v>LOSS</v>
      </c>
      <c r="P4" s="3">
        <f t="shared" si="8"/>
        <v>1</v>
      </c>
      <c r="Q4" s="3">
        <f t="shared" si="9"/>
        <v>0</v>
      </c>
      <c r="R4" s="12">
        <f t="shared" si="10"/>
        <v>0</v>
      </c>
    </row>
    <row r="5">
      <c r="A5" s="3" t="s">
        <v>20</v>
      </c>
      <c r="B5" s="4">
        <v>46148.0</v>
      </c>
      <c r="C5" s="4" t="str">
        <f t="shared" si="1"/>
        <v>May</v>
      </c>
      <c r="D5" s="3" t="s">
        <v>10</v>
      </c>
      <c r="E5" s="3" t="s">
        <v>11</v>
      </c>
      <c r="F5" s="3" t="s">
        <v>21</v>
      </c>
      <c r="G5" s="3" t="str">
        <f>VLOOKUP(F5, 'KODE PESAWAT'!$A$2:$C$42, 3, FALSE)</f>
        <v>Singapore Airlines Group</v>
      </c>
      <c r="H5" s="10">
        <v>1.3901E7</v>
      </c>
      <c r="I5" s="10">
        <v>1.5986149999999998E7</v>
      </c>
      <c r="J5" s="10">
        <f t="shared" si="2"/>
        <v>-2085150</v>
      </c>
      <c r="K5" s="11">
        <f t="shared" si="3"/>
        <v>-0.15</v>
      </c>
      <c r="L5" s="3" t="str">
        <f t="shared" si="4"/>
        <v>Fare Increase</v>
      </c>
      <c r="M5" s="10">
        <f t="shared" si="5"/>
        <v>2085150</v>
      </c>
      <c r="N5" s="3" t="str">
        <f t="shared" si="6"/>
        <v>Issued</v>
      </c>
      <c r="O5" s="3" t="str">
        <f t="shared" si="7"/>
        <v>LOSS</v>
      </c>
      <c r="P5" s="3">
        <f t="shared" si="8"/>
        <v>1</v>
      </c>
      <c r="Q5" s="3">
        <f t="shared" si="9"/>
        <v>0</v>
      </c>
      <c r="R5" s="12">
        <f t="shared" si="10"/>
        <v>0</v>
      </c>
    </row>
    <row r="6">
      <c r="A6" s="3" t="s">
        <v>22</v>
      </c>
      <c r="B6" s="4">
        <v>46239.0</v>
      </c>
      <c r="C6" s="4" t="str">
        <f t="shared" si="1"/>
        <v>August</v>
      </c>
      <c r="D6" s="3" t="s">
        <v>23</v>
      </c>
      <c r="E6" s="3" t="s">
        <v>15</v>
      </c>
      <c r="F6" s="3" t="s">
        <v>19</v>
      </c>
      <c r="G6" s="3" t="str">
        <f>VLOOKUP(F6, 'KODE PESAWAT'!$A$2:$C$42, 3, FALSE)</f>
        <v>Lion Air Group</v>
      </c>
      <c r="H6" s="10">
        <v>4195000.0</v>
      </c>
      <c r="I6" s="10">
        <v>4824250.0</v>
      </c>
      <c r="J6" s="10">
        <f t="shared" si="2"/>
        <v>-629250</v>
      </c>
      <c r="K6" s="11">
        <f t="shared" si="3"/>
        <v>-0.15</v>
      </c>
      <c r="L6" s="3" t="str">
        <f t="shared" si="4"/>
        <v>Fare Increase</v>
      </c>
      <c r="M6" s="10">
        <f t="shared" si="5"/>
        <v>629250</v>
      </c>
      <c r="N6" s="3" t="str">
        <f t="shared" si="6"/>
        <v>Issued</v>
      </c>
      <c r="O6" s="3" t="str">
        <f t="shared" si="7"/>
        <v>LOSS</v>
      </c>
      <c r="P6" s="3">
        <f t="shared" si="8"/>
        <v>1</v>
      </c>
      <c r="Q6" s="3">
        <f t="shared" si="9"/>
        <v>0</v>
      </c>
      <c r="R6" s="12">
        <f t="shared" si="10"/>
        <v>0</v>
      </c>
    </row>
    <row r="7">
      <c r="A7" s="3" t="s">
        <v>24</v>
      </c>
      <c r="B7" s="4">
        <v>46079.0</v>
      </c>
      <c r="C7" s="4" t="str">
        <f t="shared" si="1"/>
        <v>February</v>
      </c>
      <c r="D7" s="3" t="s">
        <v>25</v>
      </c>
      <c r="E7" s="3" t="s">
        <v>15</v>
      </c>
      <c r="F7" s="3" t="s">
        <v>26</v>
      </c>
      <c r="G7" s="3" t="str">
        <f>VLOOKUP(F7, 'KODE PESAWAT'!$A$2:$C$42, 3, FALSE)</f>
        <v>VietJet Group</v>
      </c>
      <c r="H7" s="10">
        <v>1635000.0</v>
      </c>
      <c r="I7" s="10">
        <v>2289000.0</v>
      </c>
      <c r="J7" s="10">
        <f t="shared" si="2"/>
        <v>-654000</v>
      </c>
      <c r="K7" s="11">
        <f t="shared" si="3"/>
        <v>-0.4</v>
      </c>
      <c r="L7" s="3" t="str">
        <f t="shared" si="4"/>
        <v>Fare Increase</v>
      </c>
      <c r="M7" s="10">
        <f t="shared" si="5"/>
        <v>654000</v>
      </c>
      <c r="N7" s="3" t="str">
        <f t="shared" si="6"/>
        <v>Issued</v>
      </c>
      <c r="O7" s="3" t="str">
        <f t="shared" si="7"/>
        <v>LOSS</v>
      </c>
      <c r="P7" s="3">
        <f t="shared" si="8"/>
        <v>1</v>
      </c>
      <c r="Q7" s="3">
        <f t="shared" si="9"/>
        <v>0</v>
      </c>
      <c r="R7" s="12">
        <f t="shared" si="10"/>
        <v>0</v>
      </c>
    </row>
    <row r="8">
      <c r="A8" s="3" t="s">
        <v>27</v>
      </c>
      <c r="B8" s="4">
        <v>46140.0</v>
      </c>
      <c r="C8" s="4" t="str">
        <f t="shared" si="1"/>
        <v>April</v>
      </c>
      <c r="D8" s="3" t="s">
        <v>10</v>
      </c>
      <c r="E8" s="3" t="s">
        <v>11</v>
      </c>
      <c r="F8" s="3" t="s">
        <v>19</v>
      </c>
      <c r="G8" s="3" t="str">
        <f>VLOOKUP(F8, 'KODE PESAWAT'!$A$2:$C$42, 3, FALSE)</f>
        <v>Lion Air Group</v>
      </c>
      <c r="H8" s="10">
        <v>927000.0</v>
      </c>
      <c r="I8" s="10">
        <v>1297800.0</v>
      </c>
      <c r="J8" s="10">
        <f t="shared" si="2"/>
        <v>-370800</v>
      </c>
      <c r="K8" s="11">
        <f t="shared" si="3"/>
        <v>-0.4</v>
      </c>
      <c r="L8" s="3" t="str">
        <f t="shared" si="4"/>
        <v>Fare Increase</v>
      </c>
      <c r="M8" s="10">
        <f t="shared" si="5"/>
        <v>370800</v>
      </c>
      <c r="N8" s="3" t="str">
        <f t="shared" si="6"/>
        <v>Issued</v>
      </c>
      <c r="O8" s="3" t="str">
        <f t="shared" si="7"/>
        <v>LOSS</v>
      </c>
      <c r="P8" s="3">
        <f t="shared" si="8"/>
        <v>1</v>
      </c>
      <c r="Q8" s="3">
        <f t="shared" si="9"/>
        <v>0</v>
      </c>
      <c r="R8" s="12">
        <f t="shared" si="10"/>
        <v>0</v>
      </c>
    </row>
    <row r="9">
      <c r="A9" s="3" t="s">
        <v>28</v>
      </c>
      <c r="B9" s="4">
        <v>46283.0</v>
      </c>
      <c r="C9" s="4" t="str">
        <f t="shared" si="1"/>
        <v>September</v>
      </c>
      <c r="D9" s="3" t="s">
        <v>10</v>
      </c>
      <c r="E9" s="3" t="s">
        <v>11</v>
      </c>
      <c r="F9" s="3" t="s">
        <v>12</v>
      </c>
      <c r="G9" s="3" t="str">
        <f>VLOOKUP(F9, 'KODE PESAWAT'!$A$2:$C$42, 3, FALSE)</f>
        <v>AirAsia Group</v>
      </c>
      <c r="H9" s="10">
        <v>1705000.0</v>
      </c>
      <c r="I9" s="10">
        <v>1619750.0</v>
      </c>
      <c r="J9" s="10">
        <f t="shared" si="2"/>
        <v>85250</v>
      </c>
      <c r="K9" s="11">
        <f t="shared" si="3"/>
        <v>0.05</v>
      </c>
      <c r="L9" s="3" t="str">
        <f t="shared" si="4"/>
        <v>Normal</v>
      </c>
      <c r="M9" s="10">
        <f t="shared" si="5"/>
        <v>-85250</v>
      </c>
      <c r="N9" s="3" t="str">
        <f t="shared" si="6"/>
        <v>Issued</v>
      </c>
      <c r="O9" s="3" t="str">
        <f t="shared" si="7"/>
        <v>PROFIT</v>
      </c>
      <c r="P9" s="3">
        <f t="shared" si="8"/>
        <v>1</v>
      </c>
      <c r="Q9" s="3">
        <f t="shared" si="9"/>
        <v>1</v>
      </c>
      <c r="R9" s="12">
        <f t="shared" si="10"/>
        <v>0</v>
      </c>
    </row>
    <row r="10">
      <c r="A10" s="3" t="s">
        <v>29</v>
      </c>
      <c r="B10" s="4">
        <v>46091.0</v>
      </c>
      <c r="C10" s="4" t="str">
        <f t="shared" si="1"/>
        <v>March</v>
      </c>
      <c r="D10" s="3" t="s">
        <v>30</v>
      </c>
      <c r="E10" s="3" t="s">
        <v>15</v>
      </c>
      <c r="F10" s="3" t="s">
        <v>31</v>
      </c>
      <c r="G10" s="3" t="str">
        <f>VLOOKUP(F10, 'KODE PESAWAT'!$A$2:$C$42, 3, FALSE)</f>
        <v>Garuda Indonesia Group</v>
      </c>
      <c r="H10" s="10">
        <v>1379000.0</v>
      </c>
      <c r="I10" s="10">
        <v>1310050.0</v>
      </c>
      <c r="J10" s="10">
        <f t="shared" si="2"/>
        <v>68950</v>
      </c>
      <c r="K10" s="11">
        <f t="shared" si="3"/>
        <v>0.05</v>
      </c>
      <c r="L10" s="3" t="str">
        <f t="shared" si="4"/>
        <v>Normal</v>
      </c>
      <c r="M10" s="10">
        <f t="shared" si="5"/>
        <v>-68950</v>
      </c>
      <c r="N10" s="3" t="str">
        <f t="shared" si="6"/>
        <v>Issued</v>
      </c>
      <c r="O10" s="3" t="str">
        <f t="shared" si="7"/>
        <v>PROFIT</v>
      </c>
      <c r="P10" s="3">
        <f t="shared" si="8"/>
        <v>1</v>
      </c>
      <c r="Q10" s="3">
        <f t="shared" si="9"/>
        <v>1</v>
      </c>
      <c r="R10" s="12">
        <f t="shared" si="10"/>
        <v>0</v>
      </c>
    </row>
    <row r="11">
      <c r="A11" s="3" t="s">
        <v>32</v>
      </c>
      <c r="B11" s="4">
        <v>46384.0</v>
      </c>
      <c r="C11" s="4" t="str">
        <f t="shared" si="1"/>
        <v>December</v>
      </c>
      <c r="D11" s="3" t="s">
        <v>23</v>
      </c>
      <c r="E11" s="3" t="s">
        <v>15</v>
      </c>
      <c r="F11" s="3" t="s">
        <v>33</v>
      </c>
      <c r="G11" s="3" t="str">
        <f>VLOOKUP(F11, 'KODE PESAWAT'!$A$2:$C$42, 3, FALSE)</f>
        <v>Garuda Indonesia Group</v>
      </c>
      <c r="H11" s="10">
        <v>9500000.0</v>
      </c>
      <c r="I11" s="10">
        <v>2.375E7</v>
      </c>
      <c r="J11" s="10">
        <f t="shared" si="2"/>
        <v>-14250000</v>
      </c>
      <c r="K11" s="11">
        <f t="shared" si="3"/>
        <v>-1.5</v>
      </c>
      <c r="L11" s="3" t="str">
        <f t="shared" si="4"/>
        <v>Over Buffer</v>
      </c>
      <c r="M11" s="10">
        <f t="shared" si="5"/>
        <v>-9500000</v>
      </c>
      <c r="N11" s="3" t="str">
        <f t="shared" si="6"/>
        <v>Refund</v>
      </c>
      <c r="O11" s="3" t="str">
        <f t="shared" si="7"/>
        <v>N/A</v>
      </c>
      <c r="P11" s="3">
        <f t="shared" si="8"/>
        <v>0</v>
      </c>
      <c r="Q11" s="3">
        <f t="shared" si="9"/>
        <v>0</v>
      </c>
      <c r="R11" s="12">
        <f t="shared" si="10"/>
        <v>1</v>
      </c>
    </row>
    <row r="12">
      <c r="A12" s="3" t="s">
        <v>34</v>
      </c>
      <c r="B12" s="4">
        <v>46162.0</v>
      </c>
      <c r="C12" s="4" t="str">
        <f t="shared" si="1"/>
        <v>May</v>
      </c>
      <c r="D12" s="3" t="s">
        <v>10</v>
      </c>
      <c r="E12" s="3" t="s">
        <v>11</v>
      </c>
      <c r="F12" s="3" t="s">
        <v>35</v>
      </c>
      <c r="G12" s="3" t="str">
        <f>VLOOKUP(F12, 'KODE PESAWAT'!$A$2:$C$42, 3, FALSE)</f>
        <v>Lion Air Group</v>
      </c>
      <c r="H12" s="10">
        <v>8587000.0</v>
      </c>
      <c r="I12" s="10">
        <v>9875050.0</v>
      </c>
      <c r="J12" s="10">
        <f t="shared" si="2"/>
        <v>-1288050</v>
      </c>
      <c r="K12" s="11">
        <f t="shared" si="3"/>
        <v>-0.15</v>
      </c>
      <c r="L12" s="3" t="str">
        <f t="shared" si="4"/>
        <v>Fare Increase</v>
      </c>
      <c r="M12" s="10">
        <f t="shared" si="5"/>
        <v>1288050</v>
      </c>
      <c r="N12" s="3" t="str">
        <f t="shared" si="6"/>
        <v>Issued</v>
      </c>
      <c r="O12" s="3" t="str">
        <f t="shared" si="7"/>
        <v>LOSS</v>
      </c>
      <c r="P12" s="3">
        <f t="shared" si="8"/>
        <v>1</v>
      </c>
      <c r="Q12" s="3">
        <f t="shared" si="9"/>
        <v>0</v>
      </c>
      <c r="R12" s="12">
        <f t="shared" si="10"/>
        <v>0</v>
      </c>
    </row>
    <row r="13">
      <c r="A13" s="3" t="s">
        <v>36</v>
      </c>
      <c r="B13" s="4">
        <v>46380.0</v>
      </c>
      <c r="C13" s="4" t="str">
        <f t="shared" si="1"/>
        <v>December</v>
      </c>
      <c r="D13" s="3" t="s">
        <v>14</v>
      </c>
      <c r="E13" s="3" t="s">
        <v>15</v>
      </c>
      <c r="F13" s="3" t="s">
        <v>37</v>
      </c>
      <c r="G13" s="3" t="str">
        <f>VLOOKUP(F13, 'KODE PESAWAT'!$A$2:$C$42, 3, FALSE)</f>
        <v>Lion Air Group</v>
      </c>
      <c r="H13" s="10">
        <v>7828000.0</v>
      </c>
      <c r="I13" s="10">
        <v>9002200.0</v>
      </c>
      <c r="J13" s="10">
        <f t="shared" si="2"/>
        <v>-1174200</v>
      </c>
      <c r="K13" s="11">
        <f t="shared" si="3"/>
        <v>-0.15</v>
      </c>
      <c r="L13" s="3" t="str">
        <f t="shared" si="4"/>
        <v>Fare Increase</v>
      </c>
      <c r="M13" s="10">
        <f t="shared" si="5"/>
        <v>1174200</v>
      </c>
      <c r="N13" s="3" t="str">
        <f t="shared" si="6"/>
        <v>Issued</v>
      </c>
      <c r="O13" s="3" t="str">
        <f t="shared" si="7"/>
        <v>LOSS</v>
      </c>
      <c r="P13" s="3">
        <f t="shared" si="8"/>
        <v>1</v>
      </c>
      <c r="Q13" s="3">
        <f t="shared" si="9"/>
        <v>0</v>
      </c>
      <c r="R13" s="12">
        <f t="shared" si="10"/>
        <v>0</v>
      </c>
    </row>
    <row r="14">
      <c r="A14" s="3" t="s">
        <v>38</v>
      </c>
      <c r="B14" s="4">
        <v>46367.0</v>
      </c>
      <c r="C14" s="4" t="str">
        <f t="shared" si="1"/>
        <v>December</v>
      </c>
      <c r="D14" s="3" t="s">
        <v>18</v>
      </c>
      <c r="E14" s="3" t="s">
        <v>11</v>
      </c>
      <c r="F14" s="3" t="s">
        <v>19</v>
      </c>
      <c r="G14" s="3" t="str">
        <f>VLOOKUP(F14, 'KODE PESAWAT'!$A$2:$C$42, 3, FALSE)</f>
        <v>Lion Air Group</v>
      </c>
      <c r="H14" s="10">
        <v>918000.0</v>
      </c>
      <c r="I14" s="10">
        <v>1055700.0</v>
      </c>
      <c r="J14" s="10">
        <f t="shared" si="2"/>
        <v>-137700</v>
      </c>
      <c r="K14" s="11">
        <f t="shared" si="3"/>
        <v>-0.15</v>
      </c>
      <c r="L14" s="3" t="str">
        <f t="shared" si="4"/>
        <v>Fare Increase</v>
      </c>
      <c r="M14" s="10">
        <f t="shared" si="5"/>
        <v>137700</v>
      </c>
      <c r="N14" s="3" t="str">
        <f t="shared" si="6"/>
        <v>Issued</v>
      </c>
      <c r="O14" s="3" t="str">
        <f t="shared" si="7"/>
        <v>LOSS</v>
      </c>
      <c r="P14" s="3">
        <f t="shared" si="8"/>
        <v>1</v>
      </c>
      <c r="Q14" s="3">
        <f t="shared" si="9"/>
        <v>0</v>
      </c>
      <c r="R14" s="12">
        <f t="shared" si="10"/>
        <v>0</v>
      </c>
    </row>
    <row r="15">
      <c r="A15" s="3" t="s">
        <v>39</v>
      </c>
      <c r="B15" s="4">
        <v>46367.0</v>
      </c>
      <c r="C15" s="4" t="str">
        <f t="shared" si="1"/>
        <v>December</v>
      </c>
      <c r="D15" s="3" t="s">
        <v>25</v>
      </c>
      <c r="E15" s="3" t="s">
        <v>15</v>
      </c>
      <c r="F15" s="3" t="s">
        <v>26</v>
      </c>
      <c r="G15" s="3" t="str">
        <f>VLOOKUP(F15, 'KODE PESAWAT'!$A$2:$C$42, 3, FALSE)</f>
        <v>VietJet Group</v>
      </c>
      <c r="H15" s="10">
        <v>1541000.0</v>
      </c>
      <c r="I15" s="10">
        <v>3852500.0</v>
      </c>
      <c r="J15" s="10">
        <f t="shared" si="2"/>
        <v>-2311500</v>
      </c>
      <c r="K15" s="11">
        <f t="shared" si="3"/>
        <v>-1.5</v>
      </c>
      <c r="L15" s="3" t="str">
        <f t="shared" si="4"/>
        <v>Over Buffer</v>
      </c>
      <c r="M15" s="10">
        <f t="shared" si="5"/>
        <v>-1541000</v>
      </c>
      <c r="N15" s="3" t="str">
        <f t="shared" si="6"/>
        <v>Refund</v>
      </c>
      <c r="O15" s="3" t="str">
        <f t="shared" si="7"/>
        <v>N/A</v>
      </c>
      <c r="P15" s="3">
        <f t="shared" si="8"/>
        <v>0</v>
      </c>
      <c r="Q15" s="3">
        <f t="shared" si="9"/>
        <v>0</v>
      </c>
      <c r="R15" s="12">
        <f t="shared" si="10"/>
        <v>1</v>
      </c>
    </row>
    <row r="16">
      <c r="A16" s="3" t="s">
        <v>40</v>
      </c>
      <c r="B16" s="4">
        <v>46099.0</v>
      </c>
      <c r="C16" s="4" t="str">
        <f t="shared" si="1"/>
        <v>March</v>
      </c>
      <c r="D16" s="3" t="s">
        <v>23</v>
      </c>
      <c r="E16" s="3" t="s">
        <v>15</v>
      </c>
      <c r="F16" s="3" t="s">
        <v>31</v>
      </c>
      <c r="G16" s="3" t="str">
        <f>VLOOKUP(F16, 'KODE PESAWAT'!$A$2:$C$42, 3, FALSE)</f>
        <v>Garuda Indonesia Group</v>
      </c>
      <c r="H16" s="10">
        <v>4797000.0</v>
      </c>
      <c r="I16" s="10">
        <v>4557150.0</v>
      </c>
      <c r="J16" s="10">
        <f t="shared" si="2"/>
        <v>239850</v>
      </c>
      <c r="K16" s="11">
        <f t="shared" si="3"/>
        <v>0.05</v>
      </c>
      <c r="L16" s="3" t="str">
        <f t="shared" si="4"/>
        <v>Normal</v>
      </c>
      <c r="M16" s="10">
        <f t="shared" si="5"/>
        <v>-239850</v>
      </c>
      <c r="N16" s="3" t="str">
        <f t="shared" si="6"/>
        <v>Issued</v>
      </c>
      <c r="O16" s="3" t="str">
        <f t="shared" si="7"/>
        <v>PROFIT</v>
      </c>
      <c r="P16" s="3">
        <f t="shared" si="8"/>
        <v>1</v>
      </c>
      <c r="Q16" s="3">
        <f t="shared" si="9"/>
        <v>1</v>
      </c>
      <c r="R16" s="12">
        <f t="shared" si="10"/>
        <v>0</v>
      </c>
    </row>
    <row r="17">
      <c r="A17" s="3" t="s">
        <v>41</v>
      </c>
      <c r="B17" s="4">
        <v>46045.0</v>
      </c>
      <c r="C17" s="4" t="str">
        <f t="shared" si="1"/>
        <v>January</v>
      </c>
      <c r="D17" s="3" t="s">
        <v>25</v>
      </c>
      <c r="E17" s="3" t="s">
        <v>15</v>
      </c>
      <c r="F17" s="3" t="s">
        <v>42</v>
      </c>
      <c r="G17" s="3" t="str">
        <f>VLOOKUP(F17, 'KODE PESAWAT'!$A$2:$C$42, 3, FALSE)</f>
        <v>Vietnam Airlines Group</v>
      </c>
      <c r="H17" s="10">
        <v>5512000.0</v>
      </c>
      <c r="I17" s="10">
        <v>5236400.0</v>
      </c>
      <c r="J17" s="10">
        <f t="shared" si="2"/>
        <v>275600</v>
      </c>
      <c r="K17" s="11">
        <f t="shared" si="3"/>
        <v>0.05</v>
      </c>
      <c r="L17" s="3" t="str">
        <f t="shared" si="4"/>
        <v>Normal</v>
      </c>
      <c r="M17" s="10">
        <f t="shared" si="5"/>
        <v>-275600</v>
      </c>
      <c r="N17" s="3" t="str">
        <f t="shared" si="6"/>
        <v>Issued</v>
      </c>
      <c r="O17" s="3" t="str">
        <f t="shared" si="7"/>
        <v>PROFIT</v>
      </c>
      <c r="P17" s="3">
        <f t="shared" si="8"/>
        <v>1</v>
      </c>
      <c r="Q17" s="3">
        <f t="shared" si="9"/>
        <v>1</v>
      </c>
      <c r="R17" s="12">
        <f t="shared" si="10"/>
        <v>0</v>
      </c>
    </row>
    <row r="18">
      <c r="A18" s="3" t="s">
        <v>43</v>
      </c>
      <c r="B18" s="4">
        <v>46168.0</v>
      </c>
      <c r="C18" s="4" t="str">
        <f t="shared" si="1"/>
        <v>May</v>
      </c>
      <c r="D18" s="3" t="s">
        <v>30</v>
      </c>
      <c r="E18" s="3" t="s">
        <v>15</v>
      </c>
      <c r="F18" s="3" t="s">
        <v>16</v>
      </c>
      <c r="G18" s="3" t="str">
        <f>VLOOKUP(F18, 'KODE PESAWAT'!$A$2:$C$42, 3, FALSE)</f>
        <v>Thai Airways Group (Associate)</v>
      </c>
      <c r="H18" s="10">
        <v>1765000.0</v>
      </c>
      <c r="I18" s="10">
        <v>2029749.9999999998</v>
      </c>
      <c r="J18" s="10">
        <f t="shared" si="2"/>
        <v>-264750</v>
      </c>
      <c r="K18" s="11">
        <f t="shared" si="3"/>
        <v>-0.15</v>
      </c>
      <c r="L18" s="3" t="str">
        <f t="shared" si="4"/>
        <v>Fare Increase</v>
      </c>
      <c r="M18" s="10">
        <f t="shared" si="5"/>
        <v>264750</v>
      </c>
      <c r="N18" s="3" t="str">
        <f t="shared" si="6"/>
        <v>Issued</v>
      </c>
      <c r="O18" s="3" t="str">
        <f t="shared" si="7"/>
        <v>LOSS</v>
      </c>
      <c r="P18" s="3">
        <f t="shared" si="8"/>
        <v>1</v>
      </c>
      <c r="Q18" s="3">
        <f t="shared" si="9"/>
        <v>0</v>
      </c>
      <c r="R18" s="12">
        <f t="shared" si="10"/>
        <v>0</v>
      </c>
    </row>
    <row r="19">
      <c r="A19" s="3" t="s">
        <v>44</v>
      </c>
      <c r="B19" s="4">
        <v>46237.0</v>
      </c>
      <c r="C19" s="4" t="str">
        <f t="shared" si="1"/>
        <v>August</v>
      </c>
      <c r="D19" s="3" t="s">
        <v>25</v>
      </c>
      <c r="E19" s="3" t="s">
        <v>15</v>
      </c>
      <c r="F19" s="3" t="s">
        <v>42</v>
      </c>
      <c r="G19" s="3" t="str">
        <f>VLOOKUP(F19, 'KODE PESAWAT'!$A$2:$C$42, 3, FALSE)</f>
        <v>Vietnam Airlines Group</v>
      </c>
      <c r="H19" s="10">
        <v>510000.0</v>
      </c>
      <c r="I19" s="10">
        <v>1275000.0</v>
      </c>
      <c r="J19" s="10">
        <f t="shared" si="2"/>
        <v>-765000</v>
      </c>
      <c r="K19" s="11">
        <f t="shared" si="3"/>
        <v>-1.5</v>
      </c>
      <c r="L19" s="3" t="str">
        <f t="shared" si="4"/>
        <v>Over Buffer</v>
      </c>
      <c r="M19" s="10">
        <f t="shared" si="5"/>
        <v>-510000</v>
      </c>
      <c r="N19" s="3" t="str">
        <f t="shared" si="6"/>
        <v>Refund</v>
      </c>
      <c r="O19" s="3" t="str">
        <f t="shared" si="7"/>
        <v>N/A</v>
      </c>
      <c r="P19" s="3">
        <f t="shared" si="8"/>
        <v>0</v>
      </c>
      <c r="Q19" s="3">
        <f t="shared" si="9"/>
        <v>0</v>
      </c>
      <c r="R19" s="12">
        <f t="shared" si="10"/>
        <v>1</v>
      </c>
    </row>
    <row r="20">
      <c r="A20" s="3" t="s">
        <v>45</v>
      </c>
      <c r="B20" s="4">
        <v>46097.0</v>
      </c>
      <c r="C20" s="4" t="str">
        <f t="shared" si="1"/>
        <v>March</v>
      </c>
      <c r="D20" s="3" t="s">
        <v>18</v>
      </c>
      <c r="E20" s="3" t="s">
        <v>11</v>
      </c>
      <c r="F20" s="3" t="s">
        <v>35</v>
      </c>
      <c r="G20" s="3" t="str">
        <f>VLOOKUP(F20, 'KODE PESAWAT'!$A$2:$C$42, 3, FALSE)</f>
        <v>Lion Air Group</v>
      </c>
      <c r="H20" s="10">
        <v>1772000.0</v>
      </c>
      <c r="I20" s="10">
        <v>2037799.9999999998</v>
      </c>
      <c r="J20" s="10">
        <f t="shared" si="2"/>
        <v>-265800</v>
      </c>
      <c r="K20" s="11">
        <f t="shared" si="3"/>
        <v>-0.15</v>
      </c>
      <c r="L20" s="3" t="str">
        <f t="shared" si="4"/>
        <v>Fare Increase</v>
      </c>
      <c r="M20" s="10">
        <f t="shared" si="5"/>
        <v>265800</v>
      </c>
      <c r="N20" s="3" t="str">
        <f t="shared" si="6"/>
        <v>Issued</v>
      </c>
      <c r="O20" s="3" t="str">
        <f t="shared" si="7"/>
        <v>LOSS</v>
      </c>
      <c r="P20" s="3">
        <f t="shared" si="8"/>
        <v>1</v>
      </c>
      <c r="Q20" s="3">
        <f t="shared" si="9"/>
        <v>0</v>
      </c>
      <c r="R20" s="12">
        <f t="shared" si="10"/>
        <v>0</v>
      </c>
    </row>
    <row r="21">
      <c r="A21" s="3" t="s">
        <v>46</v>
      </c>
      <c r="B21" s="4">
        <v>46316.0</v>
      </c>
      <c r="C21" s="4" t="str">
        <f t="shared" si="1"/>
        <v>October</v>
      </c>
      <c r="D21" s="3" t="s">
        <v>14</v>
      </c>
      <c r="E21" s="3" t="s">
        <v>15</v>
      </c>
      <c r="F21" s="3" t="s">
        <v>16</v>
      </c>
      <c r="G21" s="3" t="str">
        <f>VLOOKUP(F21, 'KODE PESAWAT'!$A$2:$C$42, 3, FALSE)</f>
        <v>Thai Airways Group (Associate)</v>
      </c>
      <c r="H21" s="10">
        <v>877000.0</v>
      </c>
      <c r="I21" s="10">
        <v>1227800.0</v>
      </c>
      <c r="J21" s="10">
        <f t="shared" si="2"/>
        <v>-350800</v>
      </c>
      <c r="K21" s="11">
        <f t="shared" si="3"/>
        <v>-0.4</v>
      </c>
      <c r="L21" s="3" t="str">
        <f t="shared" si="4"/>
        <v>Fare Increase</v>
      </c>
      <c r="M21" s="10">
        <f t="shared" si="5"/>
        <v>350800</v>
      </c>
      <c r="N21" s="3" t="str">
        <f t="shared" si="6"/>
        <v>Issued</v>
      </c>
      <c r="O21" s="3" t="str">
        <f t="shared" si="7"/>
        <v>LOSS</v>
      </c>
      <c r="P21" s="3">
        <f t="shared" si="8"/>
        <v>1</v>
      </c>
      <c r="Q21" s="3">
        <f t="shared" si="9"/>
        <v>0</v>
      </c>
      <c r="R21" s="12">
        <f t="shared" si="10"/>
        <v>0</v>
      </c>
    </row>
    <row r="22">
      <c r="A22" s="3" t="s">
        <v>47</v>
      </c>
      <c r="B22" s="4">
        <v>46300.0</v>
      </c>
      <c r="C22" s="4" t="str">
        <f t="shared" si="1"/>
        <v>October</v>
      </c>
      <c r="D22" s="3" t="s">
        <v>23</v>
      </c>
      <c r="E22" s="3" t="s">
        <v>15</v>
      </c>
      <c r="F22" s="3" t="s">
        <v>31</v>
      </c>
      <c r="G22" s="3" t="str">
        <f>VLOOKUP(F22, 'KODE PESAWAT'!$A$2:$C$42, 3, FALSE)</f>
        <v>Garuda Indonesia Group</v>
      </c>
      <c r="H22" s="10">
        <v>718000.0</v>
      </c>
      <c r="I22" s="10">
        <v>1005199.9999999999</v>
      </c>
      <c r="J22" s="10">
        <f t="shared" si="2"/>
        <v>-287200</v>
      </c>
      <c r="K22" s="11">
        <f t="shared" si="3"/>
        <v>-0.4</v>
      </c>
      <c r="L22" s="3" t="str">
        <f t="shared" si="4"/>
        <v>Fare Increase</v>
      </c>
      <c r="M22" s="10">
        <f t="shared" si="5"/>
        <v>287200</v>
      </c>
      <c r="N22" s="3" t="str">
        <f t="shared" si="6"/>
        <v>Issued</v>
      </c>
      <c r="O22" s="3" t="str">
        <f t="shared" si="7"/>
        <v>LOSS</v>
      </c>
      <c r="P22" s="3">
        <f t="shared" si="8"/>
        <v>1</v>
      </c>
      <c r="Q22" s="3">
        <f t="shared" si="9"/>
        <v>0</v>
      </c>
      <c r="R22" s="12">
        <f t="shared" si="10"/>
        <v>0</v>
      </c>
    </row>
    <row r="23">
      <c r="A23" s="3" t="s">
        <v>48</v>
      </c>
      <c r="B23" s="4">
        <v>46168.0</v>
      </c>
      <c r="C23" s="4" t="str">
        <f t="shared" si="1"/>
        <v>May</v>
      </c>
      <c r="D23" s="3" t="s">
        <v>30</v>
      </c>
      <c r="E23" s="3" t="s">
        <v>15</v>
      </c>
      <c r="F23" s="3" t="s">
        <v>49</v>
      </c>
      <c r="G23" s="3" t="str">
        <f>VLOOKUP(F23, 'KODE PESAWAT'!$A$2:$C$42, 3, FALSE)</f>
        <v>AirAsia Group</v>
      </c>
      <c r="H23" s="10">
        <v>1589000.0</v>
      </c>
      <c r="I23" s="10">
        <v>2224600.0</v>
      </c>
      <c r="J23" s="10">
        <f t="shared" si="2"/>
        <v>-635600</v>
      </c>
      <c r="K23" s="11">
        <f t="shared" si="3"/>
        <v>-0.4</v>
      </c>
      <c r="L23" s="3" t="str">
        <f t="shared" si="4"/>
        <v>Fare Increase</v>
      </c>
      <c r="M23" s="10">
        <f t="shared" si="5"/>
        <v>635600</v>
      </c>
      <c r="N23" s="3" t="str">
        <f t="shared" si="6"/>
        <v>Issued</v>
      </c>
      <c r="O23" s="3" t="str">
        <f t="shared" si="7"/>
        <v>LOSS</v>
      </c>
      <c r="P23" s="3">
        <f t="shared" si="8"/>
        <v>1</v>
      </c>
      <c r="Q23" s="3">
        <f t="shared" si="9"/>
        <v>0</v>
      </c>
      <c r="R23" s="12">
        <f t="shared" si="10"/>
        <v>0</v>
      </c>
    </row>
    <row r="24">
      <c r="A24" s="3" t="s">
        <v>50</v>
      </c>
      <c r="B24" s="4">
        <v>46040.0</v>
      </c>
      <c r="C24" s="4" t="str">
        <f t="shared" si="1"/>
        <v>January</v>
      </c>
      <c r="D24" s="3" t="s">
        <v>10</v>
      </c>
      <c r="E24" s="3" t="s">
        <v>11</v>
      </c>
      <c r="F24" s="3" t="s">
        <v>21</v>
      </c>
      <c r="G24" s="3" t="str">
        <f>VLOOKUP(F24, 'KODE PESAWAT'!$A$2:$C$42, 3, FALSE)</f>
        <v>Singapore Airlines Group</v>
      </c>
      <c r="H24" s="10">
        <v>725000.0</v>
      </c>
      <c r="I24" s="10">
        <v>688750.0</v>
      </c>
      <c r="J24" s="10">
        <f t="shared" si="2"/>
        <v>36250</v>
      </c>
      <c r="K24" s="11">
        <f t="shared" si="3"/>
        <v>0.05</v>
      </c>
      <c r="L24" s="3" t="str">
        <f t="shared" si="4"/>
        <v>Normal</v>
      </c>
      <c r="M24" s="10">
        <f t="shared" si="5"/>
        <v>-36250</v>
      </c>
      <c r="N24" s="3" t="str">
        <f t="shared" si="6"/>
        <v>Issued</v>
      </c>
      <c r="O24" s="3" t="str">
        <f t="shared" si="7"/>
        <v>PROFIT</v>
      </c>
      <c r="P24" s="3">
        <f t="shared" si="8"/>
        <v>1</v>
      </c>
      <c r="Q24" s="3">
        <f t="shared" si="9"/>
        <v>1</v>
      </c>
      <c r="R24" s="12">
        <f t="shared" si="10"/>
        <v>0</v>
      </c>
    </row>
    <row r="25">
      <c r="A25" s="3" t="s">
        <v>51</v>
      </c>
      <c r="B25" s="4">
        <v>46156.0</v>
      </c>
      <c r="C25" s="4" t="str">
        <f t="shared" si="1"/>
        <v>May</v>
      </c>
      <c r="D25" s="3" t="s">
        <v>23</v>
      </c>
      <c r="E25" s="3" t="s">
        <v>15</v>
      </c>
      <c r="F25" s="3" t="s">
        <v>33</v>
      </c>
      <c r="G25" s="3" t="str">
        <f>VLOOKUP(F25, 'KODE PESAWAT'!$A$2:$C$42, 3, FALSE)</f>
        <v>Garuda Indonesia Group</v>
      </c>
      <c r="H25" s="10">
        <v>9682000.0</v>
      </c>
      <c r="I25" s="10">
        <v>1.11343E7</v>
      </c>
      <c r="J25" s="10">
        <f t="shared" si="2"/>
        <v>-1452300</v>
      </c>
      <c r="K25" s="11">
        <f t="shared" si="3"/>
        <v>-0.15</v>
      </c>
      <c r="L25" s="3" t="str">
        <f t="shared" si="4"/>
        <v>Fare Increase</v>
      </c>
      <c r="M25" s="10">
        <f t="shared" si="5"/>
        <v>1452300</v>
      </c>
      <c r="N25" s="3" t="str">
        <f t="shared" si="6"/>
        <v>Issued</v>
      </c>
      <c r="O25" s="3" t="str">
        <f t="shared" si="7"/>
        <v>LOSS</v>
      </c>
      <c r="P25" s="3">
        <f t="shared" si="8"/>
        <v>1</v>
      </c>
      <c r="Q25" s="3">
        <f t="shared" si="9"/>
        <v>0</v>
      </c>
      <c r="R25" s="12">
        <f t="shared" si="10"/>
        <v>0</v>
      </c>
    </row>
    <row r="26">
      <c r="A26" s="3" t="s">
        <v>52</v>
      </c>
      <c r="B26" s="4">
        <v>46048.0</v>
      </c>
      <c r="C26" s="4" t="str">
        <f t="shared" si="1"/>
        <v>January</v>
      </c>
      <c r="D26" s="3" t="s">
        <v>10</v>
      </c>
      <c r="E26" s="3" t="s">
        <v>11</v>
      </c>
      <c r="F26" s="3" t="s">
        <v>12</v>
      </c>
      <c r="G26" s="3" t="str">
        <f>VLOOKUP(F26, 'KODE PESAWAT'!$A$2:$C$42, 3, FALSE)</f>
        <v>AirAsia Group</v>
      </c>
      <c r="H26" s="10">
        <v>1171000.0</v>
      </c>
      <c r="I26" s="10">
        <v>1639400.0</v>
      </c>
      <c r="J26" s="10">
        <f t="shared" si="2"/>
        <v>-468400</v>
      </c>
      <c r="K26" s="11">
        <f t="shared" si="3"/>
        <v>-0.4</v>
      </c>
      <c r="L26" s="3" t="str">
        <f t="shared" si="4"/>
        <v>Fare Increase</v>
      </c>
      <c r="M26" s="10">
        <f t="shared" si="5"/>
        <v>468400</v>
      </c>
      <c r="N26" s="3" t="str">
        <f t="shared" si="6"/>
        <v>Issued</v>
      </c>
      <c r="O26" s="3" t="str">
        <f t="shared" si="7"/>
        <v>LOSS</v>
      </c>
      <c r="P26" s="3">
        <f t="shared" si="8"/>
        <v>1</v>
      </c>
      <c r="Q26" s="3">
        <f t="shared" si="9"/>
        <v>0</v>
      </c>
      <c r="R26" s="12">
        <f t="shared" si="10"/>
        <v>0</v>
      </c>
    </row>
    <row r="27">
      <c r="A27" s="3" t="s">
        <v>53</v>
      </c>
      <c r="B27" s="4">
        <v>46074.0</v>
      </c>
      <c r="C27" s="4" t="str">
        <f t="shared" si="1"/>
        <v>February</v>
      </c>
      <c r="D27" s="3" t="s">
        <v>23</v>
      </c>
      <c r="E27" s="3" t="s">
        <v>15</v>
      </c>
      <c r="F27" s="3" t="s">
        <v>31</v>
      </c>
      <c r="G27" s="3" t="str">
        <f>VLOOKUP(F27, 'KODE PESAWAT'!$A$2:$C$42, 3, FALSE)</f>
        <v>Garuda Indonesia Group</v>
      </c>
      <c r="H27" s="10">
        <v>1415000.0</v>
      </c>
      <c r="I27" s="10">
        <v>1627249.9999999998</v>
      </c>
      <c r="J27" s="10">
        <f t="shared" si="2"/>
        <v>-212250</v>
      </c>
      <c r="K27" s="11">
        <f t="shared" si="3"/>
        <v>-0.15</v>
      </c>
      <c r="L27" s="3" t="str">
        <f t="shared" si="4"/>
        <v>Fare Increase</v>
      </c>
      <c r="M27" s="10">
        <f t="shared" si="5"/>
        <v>212250</v>
      </c>
      <c r="N27" s="3" t="str">
        <f t="shared" si="6"/>
        <v>Issued</v>
      </c>
      <c r="O27" s="3" t="str">
        <f t="shared" si="7"/>
        <v>LOSS</v>
      </c>
      <c r="P27" s="3">
        <f t="shared" si="8"/>
        <v>1</v>
      </c>
      <c r="Q27" s="3">
        <f t="shared" si="9"/>
        <v>0</v>
      </c>
      <c r="R27" s="12">
        <f t="shared" si="10"/>
        <v>0</v>
      </c>
    </row>
    <row r="28">
      <c r="A28" s="3" t="s">
        <v>54</v>
      </c>
      <c r="B28" s="4">
        <v>46353.0</v>
      </c>
      <c r="C28" s="4" t="str">
        <f t="shared" si="1"/>
        <v>November</v>
      </c>
      <c r="D28" s="3" t="s">
        <v>23</v>
      </c>
      <c r="E28" s="3" t="s">
        <v>15</v>
      </c>
      <c r="F28" s="3" t="s">
        <v>33</v>
      </c>
      <c r="G28" s="3" t="str">
        <f>VLOOKUP(F28, 'KODE PESAWAT'!$A$2:$C$42, 3, FALSE)</f>
        <v>Garuda Indonesia Group</v>
      </c>
      <c r="H28" s="10">
        <v>1005000.0</v>
      </c>
      <c r="I28" s="10">
        <v>954750.0</v>
      </c>
      <c r="J28" s="10">
        <f t="shared" si="2"/>
        <v>50250</v>
      </c>
      <c r="K28" s="11">
        <f t="shared" si="3"/>
        <v>0.05</v>
      </c>
      <c r="L28" s="3" t="str">
        <f t="shared" si="4"/>
        <v>Normal</v>
      </c>
      <c r="M28" s="10">
        <f t="shared" si="5"/>
        <v>-50250</v>
      </c>
      <c r="N28" s="3" t="str">
        <f t="shared" si="6"/>
        <v>Issued</v>
      </c>
      <c r="O28" s="3" t="str">
        <f t="shared" si="7"/>
        <v>PROFIT</v>
      </c>
      <c r="P28" s="3">
        <f t="shared" si="8"/>
        <v>1</v>
      </c>
      <c r="Q28" s="3">
        <f t="shared" si="9"/>
        <v>1</v>
      </c>
      <c r="R28" s="12">
        <f t="shared" si="10"/>
        <v>0</v>
      </c>
    </row>
    <row r="29">
      <c r="A29" s="3" t="s">
        <v>55</v>
      </c>
      <c r="B29" s="4">
        <v>46139.0</v>
      </c>
      <c r="C29" s="4" t="str">
        <f t="shared" si="1"/>
        <v>April</v>
      </c>
      <c r="D29" s="3" t="s">
        <v>18</v>
      </c>
      <c r="E29" s="3" t="s">
        <v>11</v>
      </c>
      <c r="F29" s="3" t="s">
        <v>12</v>
      </c>
      <c r="G29" s="3" t="str">
        <f>VLOOKUP(F29, 'KODE PESAWAT'!$A$2:$C$42, 3, FALSE)</f>
        <v>AirAsia Group</v>
      </c>
      <c r="H29" s="10">
        <v>1.37E7</v>
      </c>
      <c r="I29" s="10">
        <v>3.425E7</v>
      </c>
      <c r="J29" s="10">
        <f t="shared" si="2"/>
        <v>-20550000</v>
      </c>
      <c r="K29" s="11">
        <f t="shared" si="3"/>
        <v>-1.5</v>
      </c>
      <c r="L29" s="3" t="str">
        <f t="shared" si="4"/>
        <v>Over Buffer</v>
      </c>
      <c r="M29" s="10">
        <f t="shared" si="5"/>
        <v>-13700000</v>
      </c>
      <c r="N29" s="3" t="str">
        <f t="shared" si="6"/>
        <v>Refund</v>
      </c>
      <c r="O29" s="3" t="str">
        <f t="shared" si="7"/>
        <v>N/A</v>
      </c>
      <c r="P29" s="3">
        <f t="shared" si="8"/>
        <v>0</v>
      </c>
      <c r="Q29" s="3">
        <f t="shared" si="9"/>
        <v>0</v>
      </c>
      <c r="R29" s="12">
        <f t="shared" si="10"/>
        <v>1</v>
      </c>
    </row>
    <row r="30">
      <c r="A30" s="3" t="s">
        <v>56</v>
      </c>
      <c r="B30" s="4">
        <v>46297.0</v>
      </c>
      <c r="C30" s="4" t="str">
        <f t="shared" si="1"/>
        <v>October</v>
      </c>
      <c r="D30" s="3" t="s">
        <v>30</v>
      </c>
      <c r="E30" s="3" t="s">
        <v>15</v>
      </c>
      <c r="F30" s="3" t="s">
        <v>21</v>
      </c>
      <c r="G30" s="3" t="str">
        <f>VLOOKUP(F30, 'KODE PESAWAT'!$A$2:$C$42, 3, FALSE)</f>
        <v>Singapore Airlines Group</v>
      </c>
      <c r="H30" s="10">
        <v>942000.0</v>
      </c>
      <c r="I30" s="10">
        <v>1318800.0</v>
      </c>
      <c r="J30" s="10">
        <f t="shared" si="2"/>
        <v>-376800</v>
      </c>
      <c r="K30" s="11">
        <f t="shared" si="3"/>
        <v>-0.4</v>
      </c>
      <c r="L30" s="3" t="str">
        <f t="shared" si="4"/>
        <v>Fare Increase</v>
      </c>
      <c r="M30" s="10">
        <f t="shared" si="5"/>
        <v>376800</v>
      </c>
      <c r="N30" s="3" t="str">
        <f t="shared" si="6"/>
        <v>Issued</v>
      </c>
      <c r="O30" s="3" t="str">
        <f t="shared" si="7"/>
        <v>LOSS</v>
      </c>
      <c r="P30" s="3">
        <f t="shared" si="8"/>
        <v>1</v>
      </c>
      <c r="Q30" s="3">
        <f t="shared" si="9"/>
        <v>0</v>
      </c>
      <c r="R30" s="12">
        <f t="shared" si="10"/>
        <v>0</v>
      </c>
    </row>
    <row r="31">
      <c r="A31" s="3" t="s">
        <v>57</v>
      </c>
      <c r="B31" s="4">
        <v>46082.0</v>
      </c>
      <c r="C31" s="4" t="str">
        <f t="shared" si="1"/>
        <v>March</v>
      </c>
      <c r="D31" s="3" t="s">
        <v>10</v>
      </c>
      <c r="E31" s="3" t="s">
        <v>11</v>
      </c>
      <c r="F31" s="3" t="s">
        <v>19</v>
      </c>
      <c r="G31" s="3" t="str">
        <f>VLOOKUP(F31, 'KODE PESAWAT'!$A$2:$C$42, 3, FALSE)</f>
        <v>Lion Air Group</v>
      </c>
      <c r="H31" s="10">
        <v>1635000.0</v>
      </c>
      <c r="I31" s="10">
        <v>1553250.0</v>
      </c>
      <c r="J31" s="10">
        <f t="shared" si="2"/>
        <v>81750</v>
      </c>
      <c r="K31" s="11">
        <f t="shared" si="3"/>
        <v>0.05</v>
      </c>
      <c r="L31" s="3" t="str">
        <f t="shared" si="4"/>
        <v>Normal</v>
      </c>
      <c r="M31" s="10">
        <f t="shared" si="5"/>
        <v>-81750</v>
      </c>
      <c r="N31" s="3" t="str">
        <f t="shared" si="6"/>
        <v>Issued</v>
      </c>
      <c r="O31" s="3" t="str">
        <f t="shared" si="7"/>
        <v>PROFIT</v>
      </c>
      <c r="P31" s="3">
        <f t="shared" si="8"/>
        <v>1</v>
      </c>
      <c r="Q31" s="3">
        <f t="shared" si="9"/>
        <v>1</v>
      </c>
      <c r="R31" s="12">
        <f t="shared" si="10"/>
        <v>0</v>
      </c>
    </row>
    <row r="32">
      <c r="A32" s="3" t="s">
        <v>58</v>
      </c>
      <c r="B32" s="4">
        <v>46351.0</v>
      </c>
      <c r="C32" s="4" t="str">
        <f t="shared" si="1"/>
        <v>November</v>
      </c>
      <c r="D32" s="3" t="s">
        <v>10</v>
      </c>
      <c r="E32" s="3" t="s">
        <v>11</v>
      </c>
      <c r="F32" s="3" t="s">
        <v>12</v>
      </c>
      <c r="G32" s="3" t="str">
        <f>VLOOKUP(F32, 'KODE PESAWAT'!$A$2:$C$42, 3, FALSE)</f>
        <v>AirAsia Group</v>
      </c>
      <c r="H32" s="10">
        <v>584000.0</v>
      </c>
      <c r="I32" s="10">
        <v>817600.0</v>
      </c>
      <c r="J32" s="10">
        <f t="shared" si="2"/>
        <v>-233600</v>
      </c>
      <c r="K32" s="11">
        <f t="shared" si="3"/>
        <v>-0.4</v>
      </c>
      <c r="L32" s="3" t="str">
        <f t="shared" si="4"/>
        <v>Fare Increase</v>
      </c>
      <c r="M32" s="10">
        <f t="shared" si="5"/>
        <v>233600</v>
      </c>
      <c r="N32" s="3" t="str">
        <f t="shared" si="6"/>
        <v>Issued</v>
      </c>
      <c r="O32" s="3" t="str">
        <f t="shared" si="7"/>
        <v>LOSS</v>
      </c>
      <c r="P32" s="3">
        <f t="shared" si="8"/>
        <v>1</v>
      </c>
      <c r="Q32" s="3">
        <f t="shared" si="9"/>
        <v>0</v>
      </c>
      <c r="R32" s="12">
        <f t="shared" si="10"/>
        <v>0</v>
      </c>
    </row>
    <row r="33">
      <c r="A33" s="3" t="s">
        <v>59</v>
      </c>
      <c r="B33" s="4">
        <v>46178.0</v>
      </c>
      <c r="C33" s="4" t="str">
        <f t="shared" si="1"/>
        <v>June</v>
      </c>
      <c r="D33" s="3" t="s">
        <v>23</v>
      </c>
      <c r="E33" s="3" t="s">
        <v>15</v>
      </c>
      <c r="F33" s="3" t="s">
        <v>31</v>
      </c>
      <c r="G33" s="3" t="str">
        <f>VLOOKUP(F33, 'KODE PESAWAT'!$A$2:$C$42, 3, FALSE)</f>
        <v>Garuda Indonesia Group</v>
      </c>
      <c r="H33" s="10">
        <v>6214000.0</v>
      </c>
      <c r="I33" s="10">
        <v>5903300.0</v>
      </c>
      <c r="J33" s="10">
        <f t="shared" si="2"/>
        <v>310700</v>
      </c>
      <c r="K33" s="11">
        <f t="shared" si="3"/>
        <v>0.05</v>
      </c>
      <c r="L33" s="3" t="str">
        <f t="shared" si="4"/>
        <v>Normal</v>
      </c>
      <c r="M33" s="10">
        <f t="shared" si="5"/>
        <v>-310700</v>
      </c>
      <c r="N33" s="3" t="str">
        <f t="shared" si="6"/>
        <v>Issued</v>
      </c>
      <c r="O33" s="3" t="str">
        <f t="shared" si="7"/>
        <v>PROFIT</v>
      </c>
      <c r="P33" s="3">
        <f t="shared" si="8"/>
        <v>1</v>
      </c>
      <c r="Q33" s="3">
        <f t="shared" si="9"/>
        <v>1</v>
      </c>
      <c r="R33" s="12">
        <f t="shared" si="10"/>
        <v>0</v>
      </c>
    </row>
    <row r="34">
      <c r="A34" s="3" t="s">
        <v>60</v>
      </c>
      <c r="B34" s="4">
        <v>46129.0</v>
      </c>
      <c r="C34" s="4" t="str">
        <f t="shared" si="1"/>
        <v>April</v>
      </c>
      <c r="D34" s="3" t="s">
        <v>25</v>
      </c>
      <c r="E34" s="3" t="s">
        <v>15</v>
      </c>
      <c r="F34" s="3" t="s">
        <v>61</v>
      </c>
      <c r="G34" s="3" t="str">
        <f>VLOOKUP(F34, 'KODE PESAWAT'!$A$2:$C$42, 3, FALSE)</f>
        <v>Vietravel Group</v>
      </c>
      <c r="H34" s="10">
        <v>9097000.0</v>
      </c>
      <c r="I34" s="10">
        <v>8642150.0</v>
      </c>
      <c r="J34" s="10">
        <f t="shared" si="2"/>
        <v>454850</v>
      </c>
      <c r="K34" s="11">
        <f t="shared" si="3"/>
        <v>0.05</v>
      </c>
      <c r="L34" s="3" t="str">
        <f t="shared" si="4"/>
        <v>Normal</v>
      </c>
      <c r="M34" s="10">
        <f t="shared" si="5"/>
        <v>-454850</v>
      </c>
      <c r="N34" s="3" t="str">
        <f t="shared" si="6"/>
        <v>Issued</v>
      </c>
      <c r="O34" s="3" t="str">
        <f t="shared" si="7"/>
        <v>PROFIT</v>
      </c>
      <c r="P34" s="3">
        <f t="shared" si="8"/>
        <v>1</v>
      </c>
      <c r="Q34" s="3">
        <f t="shared" si="9"/>
        <v>1</v>
      </c>
      <c r="R34" s="12">
        <f t="shared" si="10"/>
        <v>0</v>
      </c>
    </row>
    <row r="35">
      <c r="A35" s="3" t="s">
        <v>62</v>
      </c>
      <c r="B35" s="4">
        <v>46280.0</v>
      </c>
      <c r="C35" s="4" t="str">
        <f t="shared" si="1"/>
        <v>September</v>
      </c>
      <c r="D35" s="3" t="s">
        <v>14</v>
      </c>
      <c r="E35" s="3" t="s">
        <v>15</v>
      </c>
      <c r="F35" s="3" t="s">
        <v>63</v>
      </c>
      <c r="G35" s="3" t="str">
        <f>VLOOKUP(F35, 'KODE PESAWAT'!$A$2:$C$42, 3, FALSE)</f>
        <v>Lion Air Group</v>
      </c>
      <c r="H35" s="10">
        <v>1224000.0</v>
      </c>
      <c r="I35" s="10">
        <v>1162800.0</v>
      </c>
      <c r="J35" s="10">
        <f t="shared" si="2"/>
        <v>61200</v>
      </c>
      <c r="K35" s="11">
        <f t="shared" si="3"/>
        <v>0.05</v>
      </c>
      <c r="L35" s="3" t="str">
        <f t="shared" si="4"/>
        <v>Normal</v>
      </c>
      <c r="M35" s="10">
        <f t="shared" si="5"/>
        <v>-61200</v>
      </c>
      <c r="N35" s="3" t="str">
        <f t="shared" si="6"/>
        <v>Issued</v>
      </c>
      <c r="O35" s="3" t="str">
        <f t="shared" si="7"/>
        <v>PROFIT</v>
      </c>
      <c r="P35" s="3">
        <f t="shared" si="8"/>
        <v>1</v>
      </c>
      <c r="Q35" s="3">
        <f t="shared" si="9"/>
        <v>1</v>
      </c>
      <c r="R35" s="12">
        <f t="shared" si="10"/>
        <v>0</v>
      </c>
    </row>
    <row r="36">
      <c r="A36" s="3" t="s">
        <v>64</v>
      </c>
      <c r="B36" s="4">
        <v>46226.0</v>
      </c>
      <c r="C36" s="4" t="str">
        <f t="shared" si="1"/>
        <v>July</v>
      </c>
      <c r="D36" s="3" t="s">
        <v>23</v>
      </c>
      <c r="E36" s="3" t="s">
        <v>15</v>
      </c>
      <c r="F36" s="3" t="s">
        <v>33</v>
      </c>
      <c r="G36" s="3" t="str">
        <f>VLOOKUP(F36, 'KODE PESAWAT'!$A$2:$C$42, 3, FALSE)</f>
        <v>Garuda Indonesia Group</v>
      </c>
      <c r="H36" s="10">
        <v>1952000.0</v>
      </c>
      <c r="I36" s="10">
        <v>4880000.0</v>
      </c>
      <c r="J36" s="10">
        <f t="shared" si="2"/>
        <v>-2928000</v>
      </c>
      <c r="K36" s="11">
        <f t="shared" si="3"/>
        <v>-1.5</v>
      </c>
      <c r="L36" s="3" t="str">
        <f t="shared" si="4"/>
        <v>Over Buffer</v>
      </c>
      <c r="M36" s="10">
        <f t="shared" si="5"/>
        <v>-1952000</v>
      </c>
      <c r="N36" s="3" t="str">
        <f t="shared" si="6"/>
        <v>Refund</v>
      </c>
      <c r="O36" s="3" t="str">
        <f t="shared" si="7"/>
        <v>N/A</v>
      </c>
      <c r="P36" s="3">
        <f t="shared" si="8"/>
        <v>0</v>
      </c>
      <c r="Q36" s="3">
        <f t="shared" si="9"/>
        <v>0</v>
      </c>
      <c r="R36" s="12">
        <f t="shared" si="10"/>
        <v>1</v>
      </c>
    </row>
    <row r="37">
      <c r="A37" s="3" t="s">
        <v>65</v>
      </c>
      <c r="B37" s="4">
        <v>46332.0</v>
      </c>
      <c r="C37" s="4" t="str">
        <f t="shared" si="1"/>
        <v>November</v>
      </c>
      <c r="D37" s="3" t="s">
        <v>18</v>
      </c>
      <c r="E37" s="3" t="s">
        <v>11</v>
      </c>
      <c r="F37" s="3" t="s">
        <v>12</v>
      </c>
      <c r="G37" s="3" t="str">
        <f>VLOOKUP(F37, 'KODE PESAWAT'!$A$2:$C$42, 3, FALSE)</f>
        <v>AirAsia Group</v>
      </c>
      <c r="H37" s="10">
        <v>1757000.0</v>
      </c>
      <c r="I37" s="10">
        <v>4392500.0</v>
      </c>
      <c r="J37" s="10">
        <f t="shared" si="2"/>
        <v>-2635500</v>
      </c>
      <c r="K37" s="11">
        <f t="shared" si="3"/>
        <v>-1.5</v>
      </c>
      <c r="L37" s="3" t="str">
        <f t="shared" si="4"/>
        <v>Over Buffer</v>
      </c>
      <c r="M37" s="10">
        <f t="shared" si="5"/>
        <v>-1757000</v>
      </c>
      <c r="N37" s="3" t="str">
        <f t="shared" si="6"/>
        <v>Refund</v>
      </c>
      <c r="O37" s="3" t="str">
        <f t="shared" si="7"/>
        <v>N/A</v>
      </c>
      <c r="P37" s="3">
        <f t="shared" si="8"/>
        <v>0</v>
      </c>
      <c r="Q37" s="3">
        <f t="shared" si="9"/>
        <v>0</v>
      </c>
      <c r="R37" s="12">
        <f t="shared" si="10"/>
        <v>1</v>
      </c>
    </row>
    <row r="38">
      <c r="A38" s="3" t="s">
        <v>66</v>
      </c>
      <c r="B38" s="4">
        <v>46346.0</v>
      </c>
      <c r="C38" s="4" t="str">
        <f t="shared" si="1"/>
        <v>November</v>
      </c>
      <c r="D38" s="3" t="s">
        <v>10</v>
      </c>
      <c r="E38" s="3" t="s">
        <v>11</v>
      </c>
      <c r="F38" s="3" t="s">
        <v>63</v>
      </c>
      <c r="G38" s="3" t="str">
        <f>VLOOKUP(F38, 'KODE PESAWAT'!$A$2:$C$42, 3, FALSE)</f>
        <v>Lion Air Group</v>
      </c>
      <c r="H38" s="10">
        <v>5314000.0</v>
      </c>
      <c r="I38" s="10">
        <v>1.3285E7</v>
      </c>
      <c r="J38" s="10">
        <f t="shared" si="2"/>
        <v>-7971000</v>
      </c>
      <c r="K38" s="11">
        <f t="shared" si="3"/>
        <v>-1.5</v>
      </c>
      <c r="L38" s="3" t="str">
        <f t="shared" si="4"/>
        <v>Over Buffer</v>
      </c>
      <c r="M38" s="10">
        <f t="shared" si="5"/>
        <v>-5314000</v>
      </c>
      <c r="N38" s="3" t="str">
        <f t="shared" si="6"/>
        <v>Refund</v>
      </c>
      <c r="O38" s="3" t="str">
        <f t="shared" si="7"/>
        <v>N/A</v>
      </c>
      <c r="P38" s="3">
        <f t="shared" si="8"/>
        <v>0</v>
      </c>
      <c r="Q38" s="3">
        <f t="shared" si="9"/>
        <v>0</v>
      </c>
      <c r="R38" s="12">
        <f t="shared" si="10"/>
        <v>1</v>
      </c>
    </row>
    <row r="39">
      <c r="A39" s="3" t="s">
        <v>67</v>
      </c>
      <c r="B39" s="4">
        <v>46367.0</v>
      </c>
      <c r="C39" s="4" t="str">
        <f t="shared" si="1"/>
        <v>December</v>
      </c>
      <c r="D39" s="3" t="s">
        <v>18</v>
      </c>
      <c r="E39" s="3" t="s">
        <v>11</v>
      </c>
      <c r="F39" s="3" t="s">
        <v>19</v>
      </c>
      <c r="G39" s="3" t="str">
        <f>VLOOKUP(F39, 'KODE PESAWAT'!$A$2:$C$42, 3, FALSE)</f>
        <v>Lion Air Group</v>
      </c>
      <c r="H39" s="10">
        <v>7835000.0</v>
      </c>
      <c r="I39" s="10">
        <v>7443250.0</v>
      </c>
      <c r="J39" s="10">
        <f t="shared" si="2"/>
        <v>391750</v>
      </c>
      <c r="K39" s="11">
        <f t="shared" si="3"/>
        <v>0.05</v>
      </c>
      <c r="L39" s="3" t="str">
        <f t="shared" si="4"/>
        <v>Normal</v>
      </c>
      <c r="M39" s="10">
        <f t="shared" si="5"/>
        <v>-391750</v>
      </c>
      <c r="N39" s="3" t="str">
        <f t="shared" si="6"/>
        <v>Issued</v>
      </c>
      <c r="O39" s="3" t="str">
        <f t="shared" si="7"/>
        <v>PROFIT</v>
      </c>
      <c r="P39" s="3">
        <f t="shared" si="8"/>
        <v>1</v>
      </c>
      <c r="Q39" s="3">
        <f t="shared" si="9"/>
        <v>1</v>
      </c>
      <c r="R39" s="12">
        <f t="shared" si="10"/>
        <v>0</v>
      </c>
    </row>
    <row r="40">
      <c r="A40" s="3" t="s">
        <v>68</v>
      </c>
      <c r="B40" s="4">
        <v>46240.0</v>
      </c>
      <c r="C40" s="4" t="str">
        <f t="shared" si="1"/>
        <v>August</v>
      </c>
      <c r="D40" s="3" t="s">
        <v>23</v>
      </c>
      <c r="E40" s="3" t="s">
        <v>15</v>
      </c>
      <c r="F40" s="3" t="s">
        <v>31</v>
      </c>
      <c r="G40" s="3" t="str">
        <f>VLOOKUP(F40, 'KODE PESAWAT'!$A$2:$C$42, 3, FALSE)</f>
        <v>Garuda Indonesia Group</v>
      </c>
      <c r="H40" s="10">
        <v>1209000.0</v>
      </c>
      <c r="I40" s="10">
        <v>3022500.0</v>
      </c>
      <c r="J40" s="10">
        <f t="shared" si="2"/>
        <v>-1813500</v>
      </c>
      <c r="K40" s="11">
        <f t="shared" si="3"/>
        <v>-1.5</v>
      </c>
      <c r="L40" s="3" t="str">
        <f t="shared" si="4"/>
        <v>Over Buffer</v>
      </c>
      <c r="M40" s="10">
        <f t="shared" si="5"/>
        <v>-1209000</v>
      </c>
      <c r="N40" s="3" t="str">
        <f t="shared" si="6"/>
        <v>Refund</v>
      </c>
      <c r="O40" s="3" t="str">
        <f t="shared" si="7"/>
        <v>N/A</v>
      </c>
      <c r="P40" s="3">
        <f t="shared" si="8"/>
        <v>0</v>
      </c>
      <c r="Q40" s="3">
        <f t="shared" si="9"/>
        <v>0</v>
      </c>
      <c r="R40" s="12">
        <f t="shared" si="10"/>
        <v>1</v>
      </c>
    </row>
    <row r="41">
      <c r="A41" s="3" t="s">
        <v>69</v>
      </c>
      <c r="B41" s="4">
        <v>46246.0</v>
      </c>
      <c r="C41" s="4" t="str">
        <f t="shared" si="1"/>
        <v>August</v>
      </c>
      <c r="D41" s="3" t="s">
        <v>30</v>
      </c>
      <c r="E41" s="3" t="s">
        <v>15</v>
      </c>
      <c r="F41" s="3" t="s">
        <v>19</v>
      </c>
      <c r="G41" s="3" t="str">
        <f>VLOOKUP(F41, 'KODE PESAWAT'!$A$2:$C$42, 3, FALSE)</f>
        <v>Lion Air Group</v>
      </c>
      <c r="H41" s="10">
        <v>1003000.0</v>
      </c>
      <c r="I41" s="10">
        <v>952850.0</v>
      </c>
      <c r="J41" s="10">
        <f t="shared" si="2"/>
        <v>50150</v>
      </c>
      <c r="K41" s="11">
        <f t="shared" si="3"/>
        <v>0.05</v>
      </c>
      <c r="L41" s="3" t="str">
        <f t="shared" si="4"/>
        <v>Normal</v>
      </c>
      <c r="M41" s="10">
        <f t="shared" si="5"/>
        <v>-50150</v>
      </c>
      <c r="N41" s="3" t="str">
        <f t="shared" si="6"/>
        <v>Issued</v>
      </c>
      <c r="O41" s="3" t="str">
        <f t="shared" si="7"/>
        <v>PROFIT</v>
      </c>
      <c r="P41" s="3">
        <f t="shared" si="8"/>
        <v>1</v>
      </c>
      <c r="Q41" s="3">
        <f t="shared" si="9"/>
        <v>1</v>
      </c>
      <c r="R41" s="12">
        <f t="shared" si="10"/>
        <v>0</v>
      </c>
    </row>
    <row r="42">
      <c r="A42" s="3" t="s">
        <v>70</v>
      </c>
      <c r="B42" s="4">
        <v>46191.0</v>
      </c>
      <c r="C42" s="4" t="str">
        <f t="shared" si="1"/>
        <v>June</v>
      </c>
      <c r="D42" s="3" t="s">
        <v>18</v>
      </c>
      <c r="E42" s="3" t="s">
        <v>11</v>
      </c>
      <c r="F42" s="3" t="s">
        <v>63</v>
      </c>
      <c r="G42" s="3" t="str">
        <f>VLOOKUP(F42, 'KODE PESAWAT'!$A$2:$C$42, 3, FALSE)</f>
        <v>Lion Air Group</v>
      </c>
      <c r="H42" s="10">
        <v>598000.0</v>
      </c>
      <c r="I42" s="10">
        <v>568100.0</v>
      </c>
      <c r="J42" s="10">
        <f t="shared" si="2"/>
        <v>29900</v>
      </c>
      <c r="K42" s="11">
        <f t="shared" si="3"/>
        <v>0.05</v>
      </c>
      <c r="L42" s="3" t="str">
        <f t="shared" si="4"/>
        <v>Normal</v>
      </c>
      <c r="M42" s="10">
        <f t="shared" si="5"/>
        <v>-29900</v>
      </c>
      <c r="N42" s="3" t="str">
        <f t="shared" si="6"/>
        <v>Issued</v>
      </c>
      <c r="O42" s="3" t="str">
        <f t="shared" si="7"/>
        <v>PROFIT</v>
      </c>
      <c r="P42" s="3">
        <f t="shared" si="8"/>
        <v>1</v>
      </c>
      <c r="Q42" s="3">
        <f t="shared" si="9"/>
        <v>1</v>
      </c>
      <c r="R42" s="12">
        <f t="shared" si="10"/>
        <v>0</v>
      </c>
    </row>
    <row r="43">
      <c r="A43" s="3" t="s">
        <v>71</v>
      </c>
      <c r="B43" s="4">
        <v>46113.0</v>
      </c>
      <c r="C43" s="4" t="str">
        <f t="shared" si="1"/>
        <v>April</v>
      </c>
      <c r="D43" s="3" t="s">
        <v>18</v>
      </c>
      <c r="E43" s="3" t="s">
        <v>11</v>
      </c>
      <c r="F43" s="3" t="s">
        <v>35</v>
      </c>
      <c r="G43" s="3" t="str">
        <f>VLOOKUP(F43, 'KODE PESAWAT'!$A$2:$C$42, 3, FALSE)</f>
        <v>Lion Air Group</v>
      </c>
      <c r="H43" s="10">
        <v>814000.0</v>
      </c>
      <c r="I43" s="10">
        <v>773300.0</v>
      </c>
      <c r="J43" s="10">
        <f t="shared" si="2"/>
        <v>40700</v>
      </c>
      <c r="K43" s="11">
        <f t="shared" si="3"/>
        <v>0.05</v>
      </c>
      <c r="L43" s="3" t="str">
        <f t="shared" si="4"/>
        <v>Normal</v>
      </c>
      <c r="M43" s="10">
        <f t="shared" si="5"/>
        <v>-40700</v>
      </c>
      <c r="N43" s="3" t="str">
        <f t="shared" si="6"/>
        <v>Issued</v>
      </c>
      <c r="O43" s="3" t="str">
        <f t="shared" si="7"/>
        <v>PROFIT</v>
      </c>
      <c r="P43" s="3">
        <f t="shared" si="8"/>
        <v>1</v>
      </c>
      <c r="Q43" s="3">
        <f t="shared" si="9"/>
        <v>1</v>
      </c>
      <c r="R43" s="12">
        <f t="shared" si="10"/>
        <v>0</v>
      </c>
    </row>
    <row r="44">
      <c r="A44" s="3" t="s">
        <v>72</v>
      </c>
      <c r="B44" s="4">
        <v>46318.0</v>
      </c>
      <c r="C44" s="4" t="str">
        <f t="shared" si="1"/>
        <v>October</v>
      </c>
      <c r="D44" s="3" t="s">
        <v>10</v>
      </c>
      <c r="E44" s="3" t="s">
        <v>11</v>
      </c>
      <c r="F44" s="3" t="s">
        <v>35</v>
      </c>
      <c r="G44" s="3" t="str">
        <f>VLOOKUP(F44, 'KODE PESAWAT'!$A$2:$C$42, 3, FALSE)</f>
        <v>Lion Air Group</v>
      </c>
      <c r="H44" s="10">
        <v>974000.0</v>
      </c>
      <c r="I44" s="10">
        <v>2435000.0</v>
      </c>
      <c r="J44" s="10">
        <f t="shared" si="2"/>
        <v>-1461000</v>
      </c>
      <c r="K44" s="11">
        <f t="shared" si="3"/>
        <v>-1.5</v>
      </c>
      <c r="L44" s="3" t="str">
        <f t="shared" si="4"/>
        <v>Over Buffer</v>
      </c>
      <c r="M44" s="10">
        <f t="shared" si="5"/>
        <v>-974000</v>
      </c>
      <c r="N44" s="3" t="str">
        <f t="shared" si="6"/>
        <v>Refund</v>
      </c>
      <c r="O44" s="3" t="str">
        <f t="shared" si="7"/>
        <v>N/A</v>
      </c>
      <c r="P44" s="3">
        <f t="shared" si="8"/>
        <v>0</v>
      </c>
      <c r="Q44" s="3">
        <f t="shared" si="9"/>
        <v>0</v>
      </c>
      <c r="R44" s="12">
        <f t="shared" si="10"/>
        <v>1</v>
      </c>
    </row>
    <row r="45">
      <c r="A45" s="3" t="s">
        <v>73</v>
      </c>
      <c r="B45" s="4">
        <v>46282.0</v>
      </c>
      <c r="C45" s="4" t="str">
        <f t="shared" si="1"/>
        <v>September</v>
      </c>
      <c r="D45" s="3" t="s">
        <v>14</v>
      </c>
      <c r="E45" s="3" t="s">
        <v>15</v>
      </c>
      <c r="F45" s="3" t="s">
        <v>63</v>
      </c>
      <c r="G45" s="3" t="str">
        <f>VLOOKUP(F45, 'KODE PESAWAT'!$A$2:$C$42, 3, FALSE)</f>
        <v>Lion Air Group</v>
      </c>
      <c r="H45" s="10">
        <v>1705000.0</v>
      </c>
      <c r="I45" s="10">
        <v>2387000.0</v>
      </c>
      <c r="J45" s="10">
        <f t="shared" si="2"/>
        <v>-682000</v>
      </c>
      <c r="K45" s="11">
        <f t="shared" si="3"/>
        <v>-0.4</v>
      </c>
      <c r="L45" s="3" t="str">
        <f t="shared" si="4"/>
        <v>Fare Increase</v>
      </c>
      <c r="M45" s="10">
        <f t="shared" si="5"/>
        <v>682000</v>
      </c>
      <c r="N45" s="3" t="str">
        <f t="shared" si="6"/>
        <v>Issued</v>
      </c>
      <c r="O45" s="3" t="str">
        <f t="shared" si="7"/>
        <v>LOSS</v>
      </c>
      <c r="P45" s="3">
        <f t="shared" si="8"/>
        <v>1</v>
      </c>
      <c r="Q45" s="3">
        <f t="shared" si="9"/>
        <v>0</v>
      </c>
      <c r="R45" s="12">
        <f t="shared" si="10"/>
        <v>0</v>
      </c>
    </row>
    <row r="46">
      <c r="A46" s="3" t="s">
        <v>74</v>
      </c>
      <c r="B46" s="4">
        <v>46061.0</v>
      </c>
      <c r="C46" s="4" t="str">
        <f t="shared" si="1"/>
        <v>February</v>
      </c>
      <c r="D46" s="3" t="s">
        <v>30</v>
      </c>
      <c r="E46" s="3" t="s">
        <v>15</v>
      </c>
      <c r="F46" s="3" t="s">
        <v>49</v>
      </c>
      <c r="G46" s="3" t="str">
        <f>VLOOKUP(F46, 'KODE PESAWAT'!$A$2:$C$42, 3, FALSE)</f>
        <v>AirAsia Group</v>
      </c>
      <c r="H46" s="10">
        <v>1434000.0</v>
      </c>
      <c r="I46" s="10">
        <v>2007599.9999999998</v>
      </c>
      <c r="J46" s="10">
        <f t="shared" si="2"/>
        <v>-573600</v>
      </c>
      <c r="K46" s="11">
        <f t="shared" si="3"/>
        <v>-0.4</v>
      </c>
      <c r="L46" s="3" t="str">
        <f t="shared" si="4"/>
        <v>Fare Increase</v>
      </c>
      <c r="M46" s="10">
        <f t="shared" si="5"/>
        <v>573600</v>
      </c>
      <c r="N46" s="3" t="str">
        <f t="shared" si="6"/>
        <v>Issued</v>
      </c>
      <c r="O46" s="3" t="str">
        <f t="shared" si="7"/>
        <v>LOSS</v>
      </c>
      <c r="P46" s="3">
        <f t="shared" si="8"/>
        <v>1</v>
      </c>
      <c r="Q46" s="3">
        <f t="shared" si="9"/>
        <v>0</v>
      </c>
      <c r="R46" s="12">
        <f t="shared" si="10"/>
        <v>0</v>
      </c>
    </row>
    <row r="47">
      <c r="A47" s="3" t="s">
        <v>75</v>
      </c>
      <c r="B47" s="4">
        <v>46209.0</v>
      </c>
      <c r="C47" s="4" t="str">
        <f t="shared" si="1"/>
        <v>July</v>
      </c>
      <c r="D47" s="3" t="s">
        <v>14</v>
      </c>
      <c r="E47" s="3" t="s">
        <v>15</v>
      </c>
      <c r="F47" s="3" t="s">
        <v>63</v>
      </c>
      <c r="G47" s="3" t="str">
        <f>VLOOKUP(F47, 'KODE PESAWAT'!$A$2:$C$42, 3, FALSE)</f>
        <v>Lion Air Group</v>
      </c>
      <c r="H47" s="10">
        <v>763000.0</v>
      </c>
      <c r="I47" s="10">
        <v>1068200.0</v>
      </c>
      <c r="J47" s="10">
        <f t="shared" si="2"/>
        <v>-305200</v>
      </c>
      <c r="K47" s="11">
        <f t="shared" si="3"/>
        <v>-0.4</v>
      </c>
      <c r="L47" s="3" t="str">
        <f t="shared" si="4"/>
        <v>Fare Increase</v>
      </c>
      <c r="M47" s="10">
        <f t="shared" si="5"/>
        <v>305200</v>
      </c>
      <c r="N47" s="3" t="str">
        <f t="shared" si="6"/>
        <v>Issued</v>
      </c>
      <c r="O47" s="3" t="str">
        <f t="shared" si="7"/>
        <v>LOSS</v>
      </c>
      <c r="P47" s="3">
        <f t="shared" si="8"/>
        <v>1</v>
      </c>
      <c r="Q47" s="3">
        <f t="shared" si="9"/>
        <v>0</v>
      </c>
      <c r="R47" s="12">
        <f t="shared" si="10"/>
        <v>0</v>
      </c>
    </row>
    <row r="48">
      <c r="A48" s="3" t="s">
        <v>76</v>
      </c>
      <c r="B48" s="4">
        <v>46166.0</v>
      </c>
      <c r="C48" s="4" t="str">
        <f t="shared" si="1"/>
        <v>May</v>
      </c>
      <c r="D48" s="3" t="s">
        <v>14</v>
      </c>
      <c r="E48" s="3" t="s">
        <v>15</v>
      </c>
      <c r="F48" s="3" t="s">
        <v>37</v>
      </c>
      <c r="G48" s="3" t="str">
        <f>VLOOKUP(F48, 'KODE PESAWAT'!$A$2:$C$42, 3, FALSE)</f>
        <v>Lion Air Group</v>
      </c>
      <c r="H48" s="10">
        <v>469000.0</v>
      </c>
      <c r="I48" s="10">
        <v>445550.0</v>
      </c>
      <c r="J48" s="10">
        <f t="shared" si="2"/>
        <v>23450</v>
      </c>
      <c r="K48" s="11">
        <f t="shared" si="3"/>
        <v>0.05</v>
      </c>
      <c r="L48" s="3" t="str">
        <f t="shared" si="4"/>
        <v>Normal</v>
      </c>
      <c r="M48" s="10">
        <f t="shared" si="5"/>
        <v>-23450</v>
      </c>
      <c r="N48" s="3" t="str">
        <f t="shared" si="6"/>
        <v>Issued</v>
      </c>
      <c r="O48" s="3" t="str">
        <f t="shared" si="7"/>
        <v>PROFIT</v>
      </c>
      <c r="P48" s="3">
        <f t="shared" si="8"/>
        <v>1</v>
      </c>
      <c r="Q48" s="3">
        <f t="shared" si="9"/>
        <v>1</v>
      </c>
      <c r="R48" s="12">
        <f t="shared" si="10"/>
        <v>0</v>
      </c>
    </row>
    <row r="49">
      <c r="A49" s="3" t="s">
        <v>77</v>
      </c>
      <c r="B49" s="4">
        <v>46229.0</v>
      </c>
      <c r="C49" s="4" t="str">
        <f t="shared" si="1"/>
        <v>July</v>
      </c>
      <c r="D49" s="3" t="s">
        <v>30</v>
      </c>
      <c r="E49" s="3" t="s">
        <v>15</v>
      </c>
      <c r="F49" s="3" t="s">
        <v>78</v>
      </c>
      <c r="G49" s="3" t="str">
        <f>VLOOKUP(F49, 'KODE PESAWAT'!$A$2:$C$42, 3, FALSE)</f>
        <v>Virgin Australia Group</v>
      </c>
      <c r="H49" s="10">
        <v>7450000.0</v>
      </c>
      <c r="I49" s="10">
        <v>1.043E7</v>
      </c>
      <c r="J49" s="10">
        <f t="shared" si="2"/>
        <v>-2980000</v>
      </c>
      <c r="K49" s="11">
        <f t="shared" si="3"/>
        <v>-0.4</v>
      </c>
      <c r="L49" s="3" t="str">
        <f t="shared" si="4"/>
        <v>Fare Increase</v>
      </c>
      <c r="M49" s="10">
        <f t="shared" si="5"/>
        <v>2980000</v>
      </c>
      <c r="N49" s="3" t="str">
        <f t="shared" si="6"/>
        <v>Issued</v>
      </c>
      <c r="O49" s="3" t="str">
        <f t="shared" si="7"/>
        <v>LOSS</v>
      </c>
      <c r="P49" s="3">
        <f t="shared" si="8"/>
        <v>1</v>
      </c>
      <c r="Q49" s="3">
        <f t="shared" si="9"/>
        <v>0</v>
      </c>
      <c r="R49" s="12">
        <f t="shared" si="10"/>
        <v>0</v>
      </c>
    </row>
    <row r="50">
      <c r="A50" s="3" t="s">
        <v>79</v>
      </c>
      <c r="B50" s="4">
        <v>46315.0</v>
      </c>
      <c r="C50" s="4" t="str">
        <f t="shared" si="1"/>
        <v>October</v>
      </c>
      <c r="D50" s="3" t="s">
        <v>25</v>
      </c>
      <c r="E50" s="3" t="s">
        <v>15</v>
      </c>
      <c r="F50" s="3" t="s">
        <v>42</v>
      </c>
      <c r="G50" s="3" t="str">
        <f>VLOOKUP(F50, 'KODE PESAWAT'!$A$2:$C$42, 3, FALSE)</f>
        <v>Vietnam Airlines Group</v>
      </c>
      <c r="H50" s="10">
        <v>7482000.0</v>
      </c>
      <c r="I50" s="10">
        <v>8604300.0</v>
      </c>
      <c r="J50" s="10">
        <f t="shared" si="2"/>
        <v>-1122300</v>
      </c>
      <c r="K50" s="11">
        <f t="shared" si="3"/>
        <v>-0.15</v>
      </c>
      <c r="L50" s="3" t="str">
        <f t="shared" si="4"/>
        <v>Fare Increase</v>
      </c>
      <c r="M50" s="10">
        <f t="shared" si="5"/>
        <v>1122300</v>
      </c>
      <c r="N50" s="3" t="str">
        <f t="shared" si="6"/>
        <v>Issued</v>
      </c>
      <c r="O50" s="3" t="str">
        <f t="shared" si="7"/>
        <v>LOSS</v>
      </c>
      <c r="P50" s="3">
        <f t="shared" si="8"/>
        <v>1</v>
      </c>
      <c r="Q50" s="3">
        <f t="shared" si="9"/>
        <v>0</v>
      </c>
      <c r="R50" s="12">
        <f t="shared" si="10"/>
        <v>0</v>
      </c>
    </row>
    <row r="51">
      <c r="A51" s="3" t="s">
        <v>80</v>
      </c>
      <c r="B51" s="4">
        <v>46236.0</v>
      </c>
      <c r="C51" s="4" t="str">
        <f t="shared" si="1"/>
        <v>August</v>
      </c>
      <c r="D51" s="3" t="s">
        <v>18</v>
      </c>
      <c r="E51" s="3" t="s">
        <v>11</v>
      </c>
      <c r="F51" s="3" t="s">
        <v>19</v>
      </c>
      <c r="G51" s="3" t="str">
        <f>VLOOKUP(F51, 'KODE PESAWAT'!$A$2:$C$42, 3, FALSE)</f>
        <v>Lion Air Group</v>
      </c>
      <c r="H51" s="10">
        <v>1.0708E7</v>
      </c>
      <c r="I51" s="10">
        <v>1.2314199999999998E7</v>
      </c>
      <c r="J51" s="10">
        <f t="shared" si="2"/>
        <v>-1606200</v>
      </c>
      <c r="K51" s="11">
        <f t="shared" si="3"/>
        <v>-0.15</v>
      </c>
      <c r="L51" s="3" t="str">
        <f t="shared" si="4"/>
        <v>Fare Increase</v>
      </c>
      <c r="M51" s="10">
        <f t="shared" si="5"/>
        <v>1606200</v>
      </c>
      <c r="N51" s="3" t="str">
        <f t="shared" si="6"/>
        <v>Issued</v>
      </c>
      <c r="O51" s="3" t="str">
        <f t="shared" si="7"/>
        <v>LOSS</v>
      </c>
      <c r="P51" s="3">
        <f t="shared" si="8"/>
        <v>1</v>
      </c>
      <c r="Q51" s="3">
        <f t="shared" si="9"/>
        <v>0</v>
      </c>
      <c r="R51" s="12">
        <f t="shared" si="10"/>
        <v>0</v>
      </c>
    </row>
    <row r="52">
      <c r="A52" s="3" t="s">
        <v>81</v>
      </c>
      <c r="B52" s="4">
        <v>46168.0</v>
      </c>
      <c r="C52" s="4" t="str">
        <f t="shared" si="1"/>
        <v>May</v>
      </c>
      <c r="D52" s="3" t="s">
        <v>14</v>
      </c>
      <c r="E52" s="3" t="s">
        <v>15</v>
      </c>
      <c r="F52" s="3" t="s">
        <v>37</v>
      </c>
      <c r="G52" s="3" t="str">
        <f>VLOOKUP(F52, 'KODE PESAWAT'!$A$2:$C$42, 3, FALSE)</f>
        <v>Lion Air Group</v>
      </c>
      <c r="H52" s="10">
        <v>466000.0</v>
      </c>
      <c r="I52" s="10">
        <v>1165000.0</v>
      </c>
      <c r="J52" s="10">
        <f t="shared" si="2"/>
        <v>-699000</v>
      </c>
      <c r="K52" s="11">
        <f t="shared" si="3"/>
        <v>-1.5</v>
      </c>
      <c r="L52" s="3" t="str">
        <f t="shared" si="4"/>
        <v>Over Buffer</v>
      </c>
      <c r="M52" s="10">
        <f t="shared" si="5"/>
        <v>-466000</v>
      </c>
      <c r="N52" s="3" t="str">
        <f t="shared" si="6"/>
        <v>Refund</v>
      </c>
      <c r="O52" s="3" t="str">
        <f t="shared" si="7"/>
        <v>N/A</v>
      </c>
      <c r="P52" s="3">
        <f t="shared" si="8"/>
        <v>0</v>
      </c>
      <c r="Q52" s="3">
        <f t="shared" si="9"/>
        <v>0</v>
      </c>
      <c r="R52" s="12">
        <f t="shared" si="10"/>
        <v>1</v>
      </c>
    </row>
    <row r="53">
      <c r="A53" s="3" t="s">
        <v>82</v>
      </c>
      <c r="B53" s="4">
        <v>46169.0</v>
      </c>
      <c r="C53" s="4" t="str">
        <f t="shared" si="1"/>
        <v>May</v>
      </c>
      <c r="D53" s="3" t="s">
        <v>23</v>
      </c>
      <c r="E53" s="3" t="s">
        <v>15</v>
      </c>
      <c r="F53" s="3" t="s">
        <v>19</v>
      </c>
      <c r="G53" s="3" t="str">
        <f>VLOOKUP(F53, 'KODE PESAWAT'!$A$2:$C$42, 3, FALSE)</f>
        <v>Lion Air Group</v>
      </c>
      <c r="H53" s="10">
        <v>1496000.0</v>
      </c>
      <c r="I53" s="10">
        <v>1421200.0</v>
      </c>
      <c r="J53" s="10">
        <f t="shared" si="2"/>
        <v>74800</v>
      </c>
      <c r="K53" s="11">
        <f t="shared" si="3"/>
        <v>0.05</v>
      </c>
      <c r="L53" s="3" t="str">
        <f t="shared" si="4"/>
        <v>Normal</v>
      </c>
      <c r="M53" s="10">
        <f t="shared" si="5"/>
        <v>-74800</v>
      </c>
      <c r="N53" s="3" t="str">
        <f t="shared" si="6"/>
        <v>Issued</v>
      </c>
      <c r="O53" s="3" t="str">
        <f t="shared" si="7"/>
        <v>PROFIT</v>
      </c>
      <c r="P53" s="3">
        <f t="shared" si="8"/>
        <v>1</v>
      </c>
      <c r="Q53" s="3">
        <f t="shared" si="9"/>
        <v>1</v>
      </c>
      <c r="R53" s="12">
        <f t="shared" si="10"/>
        <v>0</v>
      </c>
    </row>
    <row r="54">
      <c r="A54" s="3" t="s">
        <v>83</v>
      </c>
      <c r="B54" s="4">
        <v>46260.0</v>
      </c>
      <c r="C54" s="4" t="str">
        <f t="shared" si="1"/>
        <v>August</v>
      </c>
      <c r="D54" s="3" t="s">
        <v>25</v>
      </c>
      <c r="E54" s="3" t="s">
        <v>15</v>
      </c>
      <c r="F54" s="3" t="s">
        <v>42</v>
      </c>
      <c r="G54" s="3" t="str">
        <f>VLOOKUP(F54, 'KODE PESAWAT'!$A$2:$C$42, 3, FALSE)</f>
        <v>Vietnam Airlines Group</v>
      </c>
      <c r="H54" s="10">
        <v>1557000.0</v>
      </c>
      <c r="I54" s="10">
        <v>3892500.0</v>
      </c>
      <c r="J54" s="10">
        <f t="shared" si="2"/>
        <v>-2335500</v>
      </c>
      <c r="K54" s="11">
        <f t="shared" si="3"/>
        <v>-1.5</v>
      </c>
      <c r="L54" s="3" t="str">
        <f t="shared" si="4"/>
        <v>Over Buffer</v>
      </c>
      <c r="M54" s="10">
        <f t="shared" si="5"/>
        <v>-1557000</v>
      </c>
      <c r="N54" s="3" t="str">
        <f t="shared" si="6"/>
        <v>Refund</v>
      </c>
      <c r="O54" s="3" t="str">
        <f t="shared" si="7"/>
        <v>N/A</v>
      </c>
      <c r="P54" s="3">
        <f t="shared" si="8"/>
        <v>0</v>
      </c>
      <c r="Q54" s="3">
        <f t="shared" si="9"/>
        <v>0</v>
      </c>
      <c r="R54" s="12">
        <f t="shared" si="10"/>
        <v>1</v>
      </c>
    </row>
    <row r="55">
      <c r="A55" s="3" t="s">
        <v>84</v>
      </c>
      <c r="B55" s="4">
        <v>46384.0</v>
      </c>
      <c r="C55" s="4" t="str">
        <f t="shared" si="1"/>
        <v>December</v>
      </c>
      <c r="D55" s="3" t="s">
        <v>18</v>
      </c>
      <c r="E55" s="3" t="s">
        <v>11</v>
      </c>
      <c r="F55" s="3" t="s">
        <v>19</v>
      </c>
      <c r="G55" s="3" t="str">
        <f>VLOOKUP(F55, 'KODE PESAWAT'!$A$2:$C$42, 3, FALSE)</f>
        <v>Lion Air Group</v>
      </c>
      <c r="H55" s="10">
        <v>462000.0</v>
      </c>
      <c r="I55" s="10">
        <v>531300.0</v>
      </c>
      <c r="J55" s="10">
        <f t="shared" si="2"/>
        <v>-69300</v>
      </c>
      <c r="K55" s="11">
        <f t="shared" si="3"/>
        <v>-0.15</v>
      </c>
      <c r="L55" s="3" t="str">
        <f t="shared" si="4"/>
        <v>Fare Increase</v>
      </c>
      <c r="M55" s="10">
        <f t="shared" si="5"/>
        <v>69300</v>
      </c>
      <c r="N55" s="3" t="str">
        <f t="shared" si="6"/>
        <v>Issued</v>
      </c>
      <c r="O55" s="3" t="str">
        <f t="shared" si="7"/>
        <v>LOSS</v>
      </c>
      <c r="P55" s="3">
        <f t="shared" si="8"/>
        <v>1</v>
      </c>
      <c r="Q55" s="3">
        <f t="shared" si="9"/>
        <v>0</v>
      </c>
      <c r="R55" s="12">
        <f t="shared" si="10"/>
        <v>0</v>
      </c>
    </row>
    <row r="56">
      <c r="A56" s="3" t="s">
        <v>85</v>
      </c>
      <c r="B56" s="4">
        <v>46045.0</v>
      </c>
      <c r="C56" s="4" t="str">
        <f t="shared" si="1"/>
        <v>January</v>
      </c>
      <c r="D56" s="3" t="s">
        <v>14</v>
      </c>
      <c r="E56" s="3" t="s">
        <v>15</v>
      </c>
      <c r="F56" s="3" t="s">
        <v>37</v>
      </c>
      <c r="G56" s="3" t="str">
        <f>VLOOKUP(F56, 'KODE PESAWAT'!$A$2:$C$42, 3, FALSE)</f>
        <v>Lion Air Group</v>
      </c>
      <c r="H56" s="10">
        <v>957000.0</v>
      </c>
      <c r="I56" s="10">
        <v>909150.0</v>
      </c>
      <c r="J56" s="10">
        <f t="shared" si="2"/>
        <v>47850</v>
      </c>
      <c r="K56" s="11">
        <f t="shared" si="3"/>
        <v>0.05</v>
      </c>
      <c r="L56" s="3" t="str">
        <f t="shared" si="4"/>
        <v>Normal</v>
      </c>
      <c r="M56" s="10">
        <f t="shared" si="5"/>
        <v>-47850</v>
      </c>
      <c r="N56" s="3" t="str">
        <f t="shared" si="6"/>
        <v>Issued</v>
      </c>
      <c r="O56" s="3" t="str">
        <f t="shared" si="7"/>
        <v>PROFIT</v>
      </c>
      <c r="P56" s="3">
        <f t="shared" si="8"/>
        <v>1</v>
      </c>
      <c r="Q56" s="3">
        <f t="shared" si="9"/>
        <v>1</v>
      </c>
      <c r="R56" s="12">
        <f t="shared" si="10"/>
        <v>0</v>
      </c>
    </row>
    <row r="57">
      <c r="A57" s="3" t="s">
        <v>86</v>
      </c>
      <c r="B57" s="4">
        <v>46044.0</v>
      </c>
      <c r="C57" s="4" t="str">
        <f t="shared" si="1"/>
        <v>January</v>
      </c>
      <c r="D57" s="3" t="s">
        <v>30</v>
      </c>
      <c r="E57" s="3" t="s">
        <v>15</v>
      </c>
      <c r="F57" s="3" t="s">
        <v>33</v>
      </c>
      <c r="G57" s="3" t="str">
        <f>VLOOKUP(F57, 'KODE PESAWAT'!$A$2:$C$42, 3, FALSE)</f>
        <v>Garuda Indonesia Group</v>
      </c>
      <c r="H57" s="10">
        <v>1.3869E7</v>
      </c>
      <c r="I57" s="10">
        <v>1.5949349999999998E7</v>
      </c>
      <c r="J57" s="10">
        <f t="shared" si="2"/>
        <v>-2080350</v>
      </c>
      <c r="K57" s="11">
        <f t="shared" si="3"/>
        <v>-0.15</v>
      </c>
      <c r="L57" s="3" t="str">
        <f t="shared" si="4"/>
        <v>Fare Increase</v>
      </c>
      <c r="M57" s="10">
        <f t="shared" si="5"/>
        <v>2080350</v>
      </c>
      <c r="N57" s="3" t="str">
        <f t="shared" si="6"/>
        <v>Issued</v>
      </c>
      <c r="O57" s="3" t="str">
        <f t="shared" si="7"/>
        <v>LOSS</v>
      </c>
      <c r="P57" s="3">
        <f t="shared" si="8"/>
        <v>1</v>
      </c>
      <c r="Q57" s="3">
        <f t="shared" si="9"/>
        <v>0</v>
      </c>
      <c r="R57" s="12">
        <f t="shared" si="10"/>
        <v>0</v>
      </c>
    </row>
    <row r="58">
      <c r="A58" s="3" t="s">
        <v>87</v>
      </c>
      <c r="B58" s="4">
        <v>46170.0</v>
      </c>
      <c r="C58" s="4" t="str">
        <f t="shared" si="1"/>
        <v>May</v>
      </c>
      <c r="D58" s="3" t="s">
        <v>23</v>
      </c>
      <c r="E58" s="3" t="s">
        <v>15</v>
      </c>
      <c r="F58" s="3" t="s">
        <v>33</v>
      </c>
      <c r="G58" s="3" t="str">
        <f>VLOOKUP(F58, 'KODE PESAWAT'!$A$2:$C$42, 3, FALSE)</f>
        <v>Garuda Indonesia Group</v>
      </c>
      <c r="H58" s="10">
        <v>785000.0</v>
      </c>
      <c r="I58" s="10">
        <v>1099000.0</v>
      </c>
      <c r="J58" s="10">
        <f t="shared" si="2"/>
        <v>-314000</v>
      </c>
      <c r="K58" s="11">
        <f t="shared" si="3"/>
        <v>-0.4</v>
      </c>
      <c r="L58" s="3" t="str">
        <f t="shared" si="4"/>
        <v>Fare Increase</v>
      </c>
      <c r="M58" s="10">
        <f t="shared" si="5"/>
        <v>314000</v>
      </c>
      <c r="N58" s="3" t="str">
        <f t="shared" si="6"/>
        <v>Issued</v>
      </c>
      <c r="O58" s="3" t="str">
        <f t="shared" si="7"/>
        <v>LOSS</v>
      </c>
      <c r="P58" s="3">
        <f t="shared" si="8"/>
        <v>1</v>
      </c>
      <c r="Q58" s="3">
        <f t="shared" si="9"/>
        <v>0</v>
      </c>
      <c r="R58" s="12">
        <f t="shared" si="10"/>
        <v>0</v>
      </c>
    </row>
    <row r="59">
      <c r="A59" s="3" t="s">
        <v>88</v>
      </c>
      <c r="B59" s="4">
        <v>46183.0</v>
      </c>
      <c r="C59" s="4" t="str">
        <f t="shared" si="1"/>
        <v>June</v>
      </c>
      <c r="D59" s="3" t="s">
        <v>18</v>
      </c>
      <c r="E59" s="3" t="s">
        <v>11</v>
      </c>
      <c r="F59" s="3" t="s">
        <v>63</v>
      </c>
      <c r="G59" s="3" t="str">
        <f>VLOOKUP(F59, 'KODE PESAWAT'!$A$2:$C$42, 3, FALSE)</f>
        <v>Lion Air Group</v>
      </c>
      <c r="H59" s="10">
        <v>1595000.0</v>
      </c>
      <c r="I59" s="10">
        <v>2233000.0</v>
      </c>
      <c r="J59" s="10">
        <f t="shared" si="2"/>
        <v>-638000</v>
      </c>
      <c r="K59" s="11">
        <f t="shared" si="3"/>
        <v>-0.4</v>
      </c>
      <c r="L59" s="3" t="str">
        <f t="shared" si="4"/>
        <v>Fare Increase</v>
      </c>
      <c r="M59" s="10">
        <f t="shared" si="5"/>
        <v>638000</v>
      </c>
      <c r="N59" s="3" t="str">
        <f t="shared" si="6"/>
        <v>Issued</v>
      </c>
      <c r="O59" s="3" t="str">
        <f t="shared" si="7"/>
        <v>LOSS</v>
      </c>
      <c r="P59" s="3">
        <f t="shared" si="8"/>
        <v>1</v>
      </c>
      <c r="Q59" s="3">
        <f t="shared" si="9"/>
        <v>0</v>
      </c>
      <c r="R59" s="12">
        <f t="shared" si="10"/>
        <v>0</v>
      </c>
    </row>
    <row r="60">
      <c r="A60" s="3" t="s">
        <v>89</v>
      </c>
      <c r="B60" s="4">
        <v>46184.0</v>
      </c>
      <c r="C60" s="4" t="str">
        <f t="shared" si="1"/>
        <v>June</v>
      </c>
      <c r="D60" s="3" t="s">
        <v>18</v>
      </c>
      <c r="E60" s="3" t="s">
        <v>11</v>
      </c>
      <c r="F60" s="3" t="s">
        <v>12</v>
      </c>
      <c r="G60" s="3" t="str">
        <f>VLOOKUP(F60, 'KODE PESAWAT'!$A$2:$C$42, 3, FALSE)</f>
        <v>AirAsia Group</v>
      </c>
      <c r="H60" s="10">
        <v>1125000.0</v>
      </c>
      <c r="I60" s="10">
        <v>1293750.0</v>
      </c>
      <c r="J60" s="10">
        <f t="shared" si="2"/>
        <v>-168750</v>
      </c>
      <c r="K60" s="11">
        <f t="shared" si="3"/>
        <v>-0.15</v>
      </c>
      <c r="L60" s="3" t="str">
        <f t="shared" si="4"/>
        <v>Fare Increase</v>
      </c>
      <c r="M60" s="10">
        <f t="shared" si="5"/>
        <v>168750</v>
      </c>
      <c r="N60" s="3" t="str">
        <f t="shared" si="6"/>
        <v>Issued</v>
      </c>
      <c r="O60" s="3" t="str">
        <f t="shared" si="7"/>
        <v>LOSS</v>
      </c>
      <c r="P60" s="3">
        <f t="shared" si="8"/>
        <v>1</v>
      </c>
      <c r="Q60" s="3">
        <f t="shared" si="9"/>
        <v>0</v>
      </c>
      <c r="R60" s="12">
        <f t="shared" si="10"/>
        <v>0</v>
      </c>
    </row>
    <row r="61">
      <c r="A61" s="3" t="s">
        <v>90</v>
      </c>
      <c r="B61" s="4">
        <v>46187.0</v>
      </c>
      <c r="C61" s="4" t="str">
        <f t="shared" si="1"/>
        <v>June</v>
      </c>
      <c r="D61" s="3" t="s">
        <v>30</v>
      </c>
      <c r="E61" s="3" t="s">
        <v>15</v>
      </c>
      <c r="F61" s="3" t="s">
        <v>78</v>
      </c>
      <c r="G61" s="3" t="str">
        <f>VLOOKUP(F61, 'KODE PESAWAT'!$A$2:$C$42, 3, FALSE)</f>
        <v>Virgin Australia Group</v>
      </c>
      <c r="H61" s="10">
        <v>2928000.0</v>
      </c>
      <c r="I61" s="10">
        <v>2781600.0</v>
      </c>
      <c r="J61" s="10">
        <f t="shared" si="2"/>
        <v>146400</v>
      </c>
      <c r="K61" s="11">
        <f t="shared" si="3"/>
        <v>0.05</v>
      </c>
      <c r="L61" s="3" t="str">
        <f t="shared" si="4"/>
        <v>Normal</v>
      </c>
      <c r="M61" s="10">
        <f t="shared" si="5"/>
        <v>-146400</v>
      </c>
      <c r="N61" s="3" t="str">
        <f t="shared" si="6"/>
        <v>Issued</v>
      </c>
      <c r="O61" s="3" t="str">
        <f t="shared" si="7"/>
        <v>PROFIT</v>
      </c>
      <c r="P61" s="3">
        <f t="shared" si="8"/>
        <v>1</v>
      </c>
      <c r="Q61" s="3">
        <f t="shared" si="9"/>
        <v>1</v>
      </c>
      <c r="R61" s="12">
        <f t="shared" si="10"/>
        <v>0</v>
      </c>
    </row>
    <row r="62">
      <c r="A62" s="3" t="s">
        <v>91</v>
      </c>
      <c r="B62" s="4">
        <v>46381.0</v>
      </c>
      <c r="C62" s="4" t="str">
        <f t="shared" si="1"/>
        <v>December</v>
      </c>
      <c r="D62" s="3" t="s">
        <v>18</v>
      </c>
      <c r="E62" s="3" t="s">
        <v>11</v>
      </c>
      <c r="F62" s="3" t="s">
        <v>63</v>
      </c>
      <c r="G62" s="3" t="str">
        <f>VLOOKUP(F62, 'KODE PESAWAT'!$A$2:$C$42, 3, FALSE)</f>
        <v>Lion Air Group</v>
      </c>
      <c r="H62" s="10">
        <v>7817000.0</v>
      </c>
      <c r="I62" s="10">
        <v>8989550.0</v>
      </c>
      <c r="J62" s="10">
        <f t="shared" si="2"/>
        <v>-1172550</v>
      </c>
      <c r="K62" s="11">
        <f t="shared" si="3"/>
        <v>-0.15</v>
      </c>
      <c r="L62" s="3" t="str">
        <f t="shared" si="4"/>
        <v>Fare Increase</v>
      </c>
      <c r="M62" s="10">
        <f t="shared" si="5"/>
        <v>1172550</v>
      </c>
      <c r="N62" s="3" t="str">
        <f t="shared" si="6"/>
        <v>Issued</v>
      </c>
      <c r="O62" s="3" t="str">
        <f t="shared" si="7"/>
        <v>LOSS</v>
      </c>
      <c r="P62" s="3">
        <f t="shared" si="8"/>
        <v>1</v>
      </c>
      <c r="Q62" s="3">
        <f t="shared" si="9"/>
        <v>0</v>
      </c>
      <c r="R62" s="12">
        <f t="shared" si="10"/>
        <v>0</v>
      </c>
    </row>
    <row r="63">
      <c r="A63" s="3" t="s">
        <v>92</v>
      </c>
      <c r="B63" s="4">
        <v>46050.0</v>
      </c>
      <c r="C63" s="4" t="str">
        <f t="shared" si="1"/>
        <v>January</v>
      </c>
      <c r="D63" s="3" t="s">
        <v>23</v>
      </c>
      <c r="E63" s="3" t="s">
        <v>15</v>
      </c>
      <c r="F63" s="3" t="s">
        <v>33</v>
      </c>
      <c r="G63" s="3" t="str">
        <f>VLOOKUP(F63, 'KODE PESAWAT'!$A$2:$C$42, 3, FALSE)</f>
        <v>Garuda Indonesia Group</v>
      </c>
      <c r="H63" s="10">
        <v>6041000.0</v>
      </c>
      <c r="I63" s="10">
        <v>8457400.0</v>
      </c>
      <c r="J63" s="10">
        <f t="shared" si="2"/>
        <v>-2416400</v>
      </c>
      <c r="K63" s="11">
        <f t="shared" si="3"/>
        <v>-0.4</v>
      </c>
      <c r="L63" s="3" t="str">
        <f t="shared" si="4"/>
        <v>Fare Increase</v>
      </c>
      <c r="M63" s="10">
        <f t="shared" si="5"/>
        <v>2416400</v>
      </c>
      <c r="N63" s="3" t="str">
        <f t="shared" si="6"/>
        <v>Issued</v>
      </c>
      <c r="O63" s="3" t="str">
        <f t="shared" si="7"/>
        <v>LOSS</v>
      </c>
      <c r="P63" s="3">
        <f t="shared" si="8"/>
        <v>1</v>
      </c>
      <c r="Q63" s="3">
        <f t="shared" si="9"/>
        <v>0</v>
      </c>
      <c r="R63" s="12">
        <f t="shared" si="10"/>
        <v>0</v>
      </c>
    </row>
    <row r="64">
      <c r="A64" s="3" t="s">
        <v>93</v>
      </c>
      <c r="B64" s="4">
        <v>46301.0</v>
      </c>
      <c r="C64" s="4" t="str">
        <f t="shared" si="1"/>
        <v>October</v>
      </c>
      <c r="D64" s="3" t="s">
        <v>18</v>
      </c>
      <c r="E64" s="3" t="s">
        <v>11</v>
      </c>
      <c r="F64" s="3" t="s">
        <v>63</v>
      </c>
      <c r="G64" s="3" t="str">
        <f>VLOOKUP(F64, 'KODE PESAWAT'!$A$2:$C$42, 3, FALSE)</f>
        <v>Lion Air Group</v>
      </c>
      <c r="H64" s="10">
        <v>1409000.0</v>
      </c>
      <c r="I64" s="10">
        <v>1620349.9999999998</v>
      </c>
      <c r="J64" s="10">
        <f t="shared" si="2"/>
        <v>-211350</v>
      </c>
      <c r="K64" s="11">
        <f t="shared" si="3"/>
        <v>-0.15</v>
      </c>
      <c r="L64" s="3" t="str">
        <f t="shared" si="4"/>
        <v>Fare Increase</v>
      </c>
      <c r="M64" s="10">
        <f t="shared" si="5"/>
        <v>211350</v>
      </c>
      <c r="N64" s="3" t="str">
        <f t="shared" si="6"/>
        <v>Issued</v>
      </c>
      <c r="O64" s="3" t="str">
        <f t="shared" si="7"/>
        <v>LOSS</v>
      </c>
      <c r="P64" s="3">
        <f t="shared" si="8"/>
        <v>1</v>
      </c>
      <c r="Q64" s="3">
        <f t="shared" si="9"/>
        <v>0</v>
      </c>
      <c r="R64" s="12">
        <f t="shared" si="10"/>
        <v>0</v>
      </c>
    </row>
    <row r="65">
      <c r="A65" s="3" t="s">
        <v>94</v>
      </c>
      <c r="B65" s="4">
        <v>46360.0</v>
      </c>
      <c r="C65" s="4" t="str">
        <f t="shared" si="1"/>
        <v>December</v>
      </c>
      <c r="D65" s="3" t="s">
        <v>18</v>
      </c>
      <c r="E65" s="3" t="s">
        <v>11</v>
      </c>
      <c r="F65" s="3" t="s">
        <v>63</v>
      </c>
      <c r="G65" s="3" t="str">
        <f>VLOOKUP(F65, 'KODE PESAWAT'!$A$2:$C$42, 3, FALSE)</f>
        <v>Lion Air Group</v>
      </c>
      <c r="H65" s="10">
        <v>3681000.0</v>
      </c>
      <c r="I65" s="10">
        <v>9202500.0</v>
      </c>
      <c r="J65" s="10">
        <f t="shared" si="2"/>
        <v>-5521500</v>
      </c>
      <c r="K65" s="11">
        <f t="shared" si="3"/>
        <v>-1.5</v>
      </c>
      <c r="L65" s="3" t="str">
        <f t="shared" si="4"/>
        <v>Over Buffer</v>
      </c>
      <c r="M65" s="10">
        <f t="shared" si="5"/>
        <v>-3681000</v>
      </c>
      <c r="N65" s="3" t="str">
        <f t="shared" si="6"/>
        <v>Refund</v>
      </c>
      <c r="O65" s="3" t="str">
        <f t="shared" si="7"/>
        <v>N/A</v>
      </c>
      <c r="P65" s="3">
        <f t="shared" si="8"/>
        <v>0</v>
      </c>
      <c r="Q65" s="3">
        <f t="shared" si="9"/>
        <v>0</v>
      </c>
      <c r="R65" s="12">
        <f t="shared" si="10"/>
        <v>1</v>
      </c>
    </row>
    <row r="66">
      <c r="A66" s="3" t="s">
        <v>95</v>
      </c>
      <c r="B66" s="4">
        <v>46290.0</v>
      </c>
      <c r="C66" s="4" t="str">
        <f t="shared" si="1"/>
        <v>September</v>
      </c>
      <c r="D66" s="3" t="s">
        <v>23</v>
      </c>
      <c r="E66" s="3" t="s">
        <v>15</v>
      </c>
      <c r="F66" s="3" t="s">
        <v>31</v>
      </c>
      <c r="G66" s="3" t="str">
        <f>VLOOKUP(F66, 'KODE PESAWAT'!$A$2:$C$42, 3, FALSE)</f>
        <v>Garuda Indonesia Group</v>
      </c>
      <c r="H66" s="10">
        <v>1714000.0</v>
      </c>
      <c r="I66" s="10">
        <v>1628300.0</v>
      </c>
      <c r="J66" s="10">
        <f t="shared" si="2"/>
        <v>85700</v>
      </c>
      <c r="K66" s="11">
        <f t="shared" si="3"/>
        <v>0.05</v>
      </c>
      <c r="L66" s="3" t="str">
        <f t="shared" si="4"/>
        <v>Normal</v>
      </c>
      <c r="M66" s="10">
        <f t="shared" si="5"/>
        <v>-85700</v>
      </c>
      <c r="N66" s="3" t="str">
        <f t="shared" si="6"/>
        <v>Issued</v>
      </c>
      <c r="O66" s="3" t="str">
        <f t="shared" si="7"/>
        <v>PROFIT</v>
      </c>
      <c r="P66" s="3">
        <f t="shared" si="8"/>
        <v>1</v>
      </c>
      <c r="Q66" s="3">
        <f t="shared" si="9"/>
        <v>1</v>
      </c>
      <c r="R66" s="12">
        <f t="shared" si="10"/>
        <v>0</v>
      </c>
    </row>
    <row r="67">
      <c r="A67" s="3" t="s">
        <v>96</v>
      </c>
      <c r="B67" s="4">
        <v>46284.0</v>
      </c>
      <c r="C67" s="4" t="str">
        <f t="shared" si="1"/>
        <v>September</v>
      </c>
      <c r="D67" s="3" t="s">
        <v>30</v>
      </c>
      <c r="E67" s="3" t="s">
        <v>15</v>
      </c>
      <c r="F67" s="3" t="s">
        <v>35</v>
      </c>
      <c r="G67" s="3" t="str">
        <f>VLOOKUP(F67, 'KODE PESAWAT'!$A$2:$C$42, 3, FALSE)</f>
        <v>Lion Air Group</v>
      </c>
      <c r="H67" s="10">
        <v>978000.0</v>
      </c>
      <c r="I67" s="10">
        <v>2445000.0</v>
      </c>
      <c r="J67" s="10">
        <f t="shared" si="2"/>
        <v>-1467000</v>
      </c>
      <c r="K67" s="11">
        <f t="shared" si="3"/>
        <v>-1.5</v>
      </c>
      <c r="L67" s="3" t="str">
        <f t="shared" si="4"/>
        <v>Over Buffer</v>
      </c>
      <c r="M67" s="10">
        <f t="shared" si="5"/>
        <v>-978000</v>
      </c>
      <c r="N67" s="3" t="str">
        <f t="shared" si="6"/>
        <v>Refund</v>
      </c>
      <c r="O67" s="3" t="str">
        <f t="shared" si="7"/>
        <v>N/A</v>
      </c>
      <c r="P67" s="3">
        <f t="shared" si="8"/>
        <v>0</v>
      </c>
      <c r="Q67" s="3">
        <f t="shared" si="9"/>
        <v>0</v>
      </c>
      <c r="R67" s="12">
        <f t="shared" si="10"/>
        <v>1</v>
      </c>
    </row>
    <row r="68">
      <c r="A68" s="3" t="s">
        <v>97</v>
      </c>
      <c r="B68" s="4">
        <v>46074.0</v>
      </c>
      <c r="C68" s="4" t="str">
        <f t="shared" si="1"/>
        <v>February</v>
      </c>
      <c r="D68" s="3" t="s">
        <v>14</v>
      </c>
      <c r="E68" s="3" t="s">
        <v>15</v>
      </c>
      <c r="F68" s="3" t="s">
        <v>63</v>
      </c>
      <c r="G68" s="3" t="str">
        <f>VLOOKUP(F68, 'KODE PESAWAT'!$A$2:$C$42, 3, FALSE)</f>
        <v>Lion Air Group</v>
      </c>
      <c r="H68" s="10">
        <v>1.3296E7</v>
      </c>
      <c r="I68" s="10">
        <v>1.86144E7</v>
      </c>
      <c r="J68" s="10">
        <f t="shared" si="2"/>
        <v>-5318400</v>
      </c>
      <c r="K68" s="11">
        <f t="shared" si="3"/>
        <v>-0.4</v>
      </c>
      <c r="L68" s="3" t="str">
        <f t="shared" si="4"/>
        <v>Fare Increase</v>
      </c>
      <c r="M68" s="10">
        <f t="shared" si="5"/>
        <v>5318400</v>
      </c>
      <c r="N68" s="3" t="str">
        <f t="shared" si="6"/>
        <v>Issued</v>
      </c>
      <c r="O68" s="3" t="str">
        <f t="shared" si="7"/>
        <v>LOSS</v>
      </c>
      <c r="P68" s="3">
        <f t="shared" si="8"/>
        <v>1</v>
      </c>
      <c r="Q68" s="3">
        <f t="shared" si="9"/>
        <v>0</v>
      </c>
      <c r="R68" s="12">
        <f t="shared" si="10"/>
        <v>0</v>
      </c>
    </row>
    <row r="69">
      <c r="A69" s="3" t="s">
        <v>98</v>
      </c>
      <c r="B69" s="4">
        <v>46116.0</v>
      </c>
      <c r="C69" s="4" t="str">
        <f t="shared" si="1"/>
        <v>April</v>
      </c>
      <c r="D69" s="3" t="s">
        <v>14</v>
      </c>
      <c r="E69" s="3" t="s">
        <v>15</v>
      </c>
      <c r="F69" s="3" t="s">
        <v>37</v>
      </c>
      <c r="G69" s="3" t="str">
        <f>VLOOKUP(F69, 'KODE PESAWAT'!$A$2:$C$42, 3, FALSE)</f>
        <v>Lion Air Group</v>
      </c>
      <c r="H69" s="10">
        <v>5343000.0</v>
      </c>
      <c r="I69" s="10">
        <v>7480199.999999999</v>
      </c>
      <c r="J69" s="10">
        <f t="shared" si="2"/>
        <v>-2137200</v>
      </c>
      <c r="K69" s="11">
        <f t="shared" si="3"/>
        <v>-0.4</v>
      </c>
      <c r="L69" s="3" t="str">
        <f t="shared" si="4"/>
        <v>Fare Increase</v>
      </c>
      <c r="M69" s="10">
        <f t="shared" si="5"/>
        <v>2137200</v>
      </c>
      <c r="N69" s="3" t="str">
        <f t="shared" si="6"/>
        <v>Issued</v>
      </c>
      <c r="O69" s="3" t="str">
        <f t="shared" si="7"/>
        <v>LOSS</v>
      </c>
      <c r="P69" s="3">
        <f t="shared" si="8"/>
        <v>1</v>
      </c>
      <c r="Q69" s="3">
        <f t="shared" si="9"/>
        <v>0</v>
      </c>
      <c r="R69" s="12">
        <f t="shared" si="10"/>
        <v>0</v>
      </c>
    </row>
    <row r="70">
      <c r="A70" s="3" t="s">
        <v>99</v>
      </c>
      <c r="B70" s="4">
        <v>46123.0</v>
      </c>
      <c r="C70" s="4" t="str">
        <f t="shared" si="1"/>
        <v>April</v>
      </c>
      <c r="D70" s="3" t="s">
        <v>30</v>
      </c>
      <c r="E70" s="3" t="s">
        <v>15</v>
      </c>
      <c r="F70" s="3" t="s">
        <v>100</v>
      </c>
      <c r="G70" s="3" t="str">
        <f>VLOOKUP(F70, 'KODE PESAWAT'!$A$2:$C$42, 3, FALSE)</f>
        <v>JG Summit Holdings</v>
      </c>
      <c r="H70" s="10">
        <v>1116000.0</v>
      </c>
      <c r="I70" s="10">
        <v>2790000.0</v>
      </c>
      <c r="J70" s="10">
        <f t="shared" si="2"/>
        <v>-1674000</v>
      </c>
      <c r="K70" s="11">
        <f t="shared" si="3"/>
        <v>-1.5</v>
      </c>
      <c r="L70" s="3" t="str">
        <f t="shared" si="4"/>
        <v>Over Buffer</v>
      </c>
      <c r="M70" s="10">
        <f t="shared" si="5"/>
        <v>-1116000</v>
      </c>
      <c r="N70" s="3" t="str">
        <f t="shared" si="6"/>
        <v>Refund</v>
      </c>
      <c r="O70" s="3" t="str">
        <f t="shared" si="7"/>
        <v>N/A</v>
      </c>
      <c r="P70" s="3">
        <f t="shared" si="8"/>
        <v>0</v>
      </c>
      <c r="Q70" s="3">
        <f t="shared" si="9"/>
        <v>0</v>
      </c>
      <c r="R70" s="12">
        <f t="shared" si="10"/>
        <v>1</v>
      </c>
    </row>
    <row r="71">
      <c r="A71" s="3" t="s">
        <v>101</v>
      </c>
      <c r="B71" s="4">
        <v>46242.0</v>
      </c>
      <c r="C71" s="4" t="str">
        <f t="shared" si="1"/>
        <v>August</v>
      </c>
      <c r="D71" s="3" t="s">
        <v>14</v>
      </c>
      <c r="E71" s="3" t="s">
        <v>15</v>
      </c>
      <c r="F71" s="3" t="s">
        <v>63</v>
      </c>
      <c r="G71" s="3" t="str">
        <f>VLOOKUP(F71, 'KODE PESAWAT'!$A$2:$C$42, 3, FALSE)</f>
        <v>Lion Air Group</v>
      </c>
      <c r="H71" s="10">
        <v>1700000.0</v>
      </c>
      <c r="I71" s="10">
        <v>4250000.0</v>
      </c>
      <c r="J71" s="10">
        <f t="shared" si="2"/>
        <v>-2550000</v>
      </c>
      <c r="K71" s="11">
        <f t="shared" si="3"/>
        <v>-1.5</v>
      </c>
      <c r="L71" s="3" t="str">
        <f t="shared" si="4"/>
        <v>Over Buffer</v>
      </c>
      <c r="M71" s="10">
        <f t="shared" si="5"/>
        <v>-1700000</v>
      </c>
      <c r="N71" s="3" t="str">
        <f t="shared" si="6"/>
        <v>Refund</v>
      </c>
      <c r="O71" s="3" t="str">
        <f t="shared" si="7"/>
        <v>N/A</v>
      </c>
      <c r="P71" s="3">
        <f t="shared" si="8"/>
        <v>0</v>
      </c>
      <c r="Q71" s="3">
        <f t="shared" si="9"/>
        <v>0</v>
      </c>
      <c r="R71" s="12">
        <f t="shared" si="10"/>
        <v>1</v>
      </c>
    </row>
    <row r="72">
      <c r="A72" s="3" t="s">
        <v>102</v>
      </c>
      <c r="B72" s="4">
        <v>46123.0</v>
      </c>
      <c r="C72" s="4" t="str">
        <f t="shared" si="1"/>
        <v>April</v>
      </c>
      <c r="D72" s="3" t="s">
        <v>25</v>
      </c>
      <c r="E72" s="3" t="s">
        <v>15</v>
      </c>
      <c r="F72" s="3" t="s">
        <v>42</v>
      </c>
      <c r="G72" s="3" t="str">
        <f>VLOOKUP(F72, 'KODE PESAWAT'!$A$2:$C$42, 3, FALSE)</f>
        <v>Vietnam Airlines Group</v>
      </c>
      <c r="H72" s="10">
        <v>919000.0</v>
      </c>
      <c r="I72" s="10">
        <v>1286600.0</v>
      </c>
      <c r="J72" s="10">
        <f t="shared" si="2"/>
        <v>-367600</v>
      </c>
      <c r="K72" s="11">
        <f t="shared" si="3"/>
        <v>-0.4</v>
      </c>
      <c r="L72" s="3" t="str">
        <f t="shared" si="4"/>
        <v>Fare Increase</v>
      </c>
      <c r="M72" s="10">
        <f t="shared" si="5"/>
        <v>367600</v>
      </c>
      <c r="N72" s="3" t="str">
        <f t="shared" si="6"/>
        <v>Issued</v>
      </c>
      <c r="O72" s="3" t="str">
        <f t="shared" si="7"/>
        <v>LOSS</v>
      </c>
      <c r="P72" s="3">
        <f t="shared" si="8"/>
        <v>1</v>
      </c>
      <c r="Q72" s="3">
        <f t="shared" si="9"/>
        <v>0</v>
      </c>
      <c r="R72" s="12">
        <f t="shared" si="10"/>
        <v>0</v>
      </c>
    </row>
    <row r="73">
      <c r="A73" s="3" t="s">
        <v>103</v>
      </c>
      <c r="B73" s="4">
        <v>46316.0</v>
      </c>
      <c r="C73" s="4" t="str">
        <f t="shared" si="1"/>
        <v>October</v>
      </c>
      <c r="D73" s="3" t="s">
        <v>23</v>
      </c>
      <c r="E73" s="3" t="s">
        <v>15</v>
      </c>
      <c r="F73" s="3" t="s">
        <v>31</v>
      </c>
      <c r="G73" s="3" t="str">
        <f>VLOOKUP(F73, 'KODE PESAWAT'!$A$2:$C$42, 3, FALSE)</f>
        <v>Garuda Indonesia Group</v>
      </c>
      <c r="H73" s="10">
        <v>1674000.0</v>
      </c>
      <c r="I73" s="10">
        <v>1590300.0</v>
      </c>
      <c r="J73" s="10">
        <f t="shared" si="2"/>
        <v>83700</v>
      </c>
      <c r="K73" s="11">
        <f t="shared" si="3"/>
        <v>0.05</v>
      </c>
      <c r="L73" s="3" t="str">
        <f t="shared" si="4"/>
        <v>Normal</v>
      </c>
      <c r="M73" s="10">
        <f t="shared" si="5"/>
        <v>-83700</v>
      </c>
      <c r="N73" s="3" t="str">
        <f t="shared" si="6"/>
        <v>Issued</v>
      </c>
      <c r="O73" s="3" t="str">
        <f t="shared" si="7"/>
        <v>PROFIT</v>
      </c>
      <c r="P73" s="3">
        <f t="shared" si="8"/>
        <v>1</v>
      </c>
      <c r="Q73" s="3">
        <f t="shared" si="9"/>
        <v>1</v>
      </c>
      <c r="R73" s="12">
        <f t="shared" si="10"/>
        <v>0</v>
      </c>
    </row>
    <row r="74">
      <c r="A74" s="3" t="s">
        <v>104</v>
      </c>
      <c r="B74" s="4">
        <v>46247.0</v>
      </c>
      <c r="C74" s="4" t="str">
        <f t="shared" si="1"/>
        <v>August</v>
      </c>
      <c r="D74" s="3" t="s">
        <v>30</v>
      </c>
      <c r="E74" s="3" t="s">
        <v>15</v>
      </c>
      <c r="F74" s="3" t="s">
        <v>26</v>
      </c>
      <c r="G74" s="3" t="str">
        <f>VLOOKUP(F74, 'KODE PESAWAT'!$A$2:$C$42, 3, FALSE)</f>
        <v>VietJet Group</v>
      </c>
      <c r="H74" s="10">
        <v>1692000.0</v>
      </c>
      <c r="I74" s="10">
        <v>1945799.9999999998</v>
      </c>
      <c r="J74" s="10">
        <f t="shared" si="2"/>
        <v>-253800</v>
      </c>
      <c r="K74" s="11">
        <f t="shared" si="3"/>
        <v>-0.15</v>
      </c>
      <c r="L74" s="3" t="str">
        <f t="shared" si="4"/>
        <v>Fare Increase</v>
      </c>
      <c r="M74" s="10">
        <f t="shared" si="5"/>
        <v>253800</v>
      </c>
      <c r="N74" s="3" t="str">
        <f t="shared" si="6"/>
        <v>Issued</v>
      </c>
      <c r="O74" s="3" t="str">
        <f t="shared" si="7"/>
        <v>LOSS</v>
      </c>
      <c r="P74" s="3">
        <f t="shared" si="8"/>
        <v>1</v>
      </c>
      <c r="Q74" s="3">
        <f t="shared" si="9"/>
        <v>0</v>
      </c>
      <c r="R74" s="12">
        <f t="shared" si="10"/>
        <v>0</v>
      </c>
    </row>
    <row r="75">
      <c r="A75" s="3" t="s">
        <v>105</v>
      </c>
      <c r="B75" s="4">
        <v>46332.0</v>
      </c>
      <c r="C75" s="4" t="str">
        <f t="shared" si="1"/>
        <v>November</v>
      </c>
      <c r="D75" s="3" t="s">
        <v>18</v>
      </c>
      <c r="E75" s="3" t="s">
        <v>11</v>
      </c>
      <c r="F75" s="3" t="s">
        <v>19</v>
      </c>
      <c r="G75" s="3" t="str">
        <f>VLOOKUP(F75, 'KODE PESAWAT'!$A$2:$C$42, 3, FALSE)</f>
        <v>Lion Air Group</v>
      </c>
      <c r="H75" s="10">
        <v>1541000.0</v>
      </c>
      <c r="I75" s="10">
        <v>3852500.0</v>
      </c>
      <c r="J75" s="10">
        <f t="shared" si="2"/>
        <v>-2311500</v>
      </c>
      <c r="K75" s="11">
        <f t="shared" si="3"/>
        <v>-1.5</v>
      </c>
      <c r="L75" s="3" t="str">
        <f t="shared" si="4"/>
        <v>Over Buffer</v>
      </c>
      <c r="M75" s="10">
        <f t="shared" si="5"/>
        <v>-1541000</v>
      </c>
      <c r="N75" s="3" t="str">
        <f t="shared" si="6"/>
        <v>Refund</v>
      </c>
      <c r="O75" s="3" t="str">
        <f t="shared" si="7"/>
        <v>N/A</v>
      </c>
      <c r="P75" s="3">
        <f t="shared" si="8"/>
        <v>0</v>
      </c>
      <c r="Q75" s="3">
        <f t="shared" si="9"/>
        <v>0</v>
      </c>
      <c r="R75" s="12">
        <f t="shared" si="10"/>
        <v>1</v>
      </c>
    </row>
    <row r="76">
      <c r="A76" s="3" t="s">
        <v>106</v>
      </c>
      <c r="B76" s="4">
        <v>46206.0</v>
      </c>
      <c r="C76" s="4" t="str">
        <f t="shared" si="1"/>
        <v>July</v>
      </c>
      <c r="D76" s="3" t="s">
        <v>10</v>
      </c>
      <c r="E76" s="3" t="s">
        <v>11</v>
      </c>
      <c r="F76" s="3" t="s">
        <v>35</v>
      </c>
      <c r="G76" s="3" t="str">
        <f>VLOOKUP(F76, 'KODE PESAWAT'!$A$2:$C$42, 3, FALSE)</f>
        <v>Lion Air Group</v>
      </c>
      <c r="H76" s="10">
        <v>979000.0</v>
      </c>
      <c r="I76" s="10">
        <v>930050.0</v>
      </c>
      <c r="J76" s="10">
        <f t="shared" si="2"/>
        <v>48950</v>
      </c>
      <c r="K76" s="11">
        <f t="shared" si="3"/>
        <v>0.05</v>
      </c>
      <c r="L76" s="3" t="str">
        <f t="shared" si="4"/>
        <v>Normal</v>
      </c>
      <c r="M76" s="10">
        <f t="shared" si="5"/>
        <v>-48950</v>
      </c>
      <c r="N76" s="3" t="str">
        <f t="shared" si="6"/>
        <v>Issued</v>
      </c>
      <c r="O76" s="3" t="str">
        <f t="shared" si="7"/>
        <v>PROFIT</v>
      </c>
      <c r="P76" s="3">
        <f t="shared" si="8"/>
        <v>1</v>
      </c>
      <c r="Q76" s="3">
        <f t="shared" si="9"/>
        <v>1</v>
      </c>
      <c r="R76" s="12">
        <f t="shared" si="10"/>
        <v>0</v>
      </c>
    </row>
    <row r="77">
      <c r="A77" s="3" t="s">
        <v>107</v>
      </c>
      <c r="B77" s="4">
        <v>46082.0</v>
      </c>
      <c r="C77" s="4" t="str">
        <f t="shared" si="1"/>
        <v>March</v>
      </c>
      <c r="D77" s="3" t="s">
        <v>18</v>
      </c>
      <c r="E77" s="3" t="s">
        <v>11</v>
      </c>
      <c r="F77" s="3" t="s">
        <v>19</v>
      </c>
      <c r="G77" s="3" t="str">
        <f>VLOOKUP(F77, 'KODE PESAWAT'!$A$2:$C$42, 3, FALSE)</f>
        <v>Lion Air Group</v>
      </c>
      <c r="H77" s="10">
        <v>1594000.0</v>
      </c>
      <c r="I77" s="10">
        <v>3985000.0</v>
      </c>
      <c r="J77" s="10">
        <f t="shared" si="2"/>
        <v>-2391000</v>
      </c>
      <c r="K77" s="11">
        <f t="shared" si="3"/>
        <v>-1.5</v>
      </c>
      <c r="L77" s="3" t="str">
        <f t="shared" si="4"/>
        <v>Over Buffer</v>
      </c>
      <c r="M77" s="10">
        <f t="shared" si="5"/>
        <v>-1594000</v>
      </c>
      <c r="N77" s="3" t="str">
        <f t="shared" si="6"/>
        <v>Refund</v>
      </c>
      <c r="O77" s="3" t="str">
        <f t="shared" si="7"/>
        <v>N/A</v>
      </c>
      <c r="P77" s="3">
        <f t="shared" si="8"/>
        <v>0</v>
      </c>
      <c r="Q77" s="3">
        <f t="shared" si="9"/>
        <v>0</v>
      </c>
      <c r="R77" s="12">
        <f t="shared" si="10"/>
        <v>1</v>
      </c>
    </row>
    <row r="78">
      <c r="A78" s="3" t="s">
        <v>108</v>
      </c>
      <c r="B78" s="4">
        <v>46276.0</v>
      </c>
      <c r="C78" s="4" t="str">
        <f t="shared" si="1"/>
        <v>September</v>
      </c>
      <c r="D78" s="3" t="s">
        <v>23</v>
      </c>
      <c r="E78" s="3" t="s">
        <v>15</v>
      </c>
      <c r="F78" s="3" t="s">
        <v>19</v>
      </c>
      <c r="G78" s="3" t="str">
        <f>VLOOKUP(F78, 'KODE PESAWAT'!$A$2:$C$42, 3, FALSE)</f>
        <v>Lion Air Group</v>
      </c>
      <c r="H78" s="10">
        <v>1.2909E7</v>
      </c>
      <c r="I78" s="10">
        <v>1.226355E7</v>
      </c>
      <c r="J78" s="10">
        <f t="shared" si="2"/>
        <v>645450</v>
      </c>
      <c r="K78" s="11">
        <f t="shared" si="3"/>
        <v>0.05</v>
      </c>
      <c r="L78" s="3" t="str">
        <f t="shared" si="4"/>
        <v>Normal</v>
      </c>
      <c r="M78" s="10">
        <f t="shared" si="5"/>
        <v>-645450</v>
      </c>
      <c r="N78" s="3" t="str">
        <f t="shared" si="6"/>
        <v>Issued</v>
      </c>
      <c r="O78" s="3" t="str">
        <f t="shared" si="7"/>
        <v>PROFIT</v>
      </c>
      <c r="P78" s="3">
        <f t="shared" si="8"/>
        <v>1</v>
      </c>
      <c r="Q78" s="3">
        <f t="shared" si="9"/>
        <v>1</v>
      </c>
      <c r="R78" s="12">
        <f t="shared" si="10"/>
        <v>0</v>
      </c>
    </row>
    <row r="79">
      <c r="A79" s="3" t="s">
        <v>109</v>
      </c>
      <c r="B79" s="4">
        <v>46033.0</v>
      </c>
      <c r="C79" s="4" t="str">
        <f t="shared" si="1"/>
        <v>January</v>
      </c>
      <c r="D79" s="3" t="s">
        <v>23</v>
      </c>
      <c r="E79" s="3" t="s">
        <v>15</v>
      </c>
      <c r="F79" s="3" t="s">
        <v>33</v>
      </c>
      <c r="G79" s="3" t="str">
        <f>VLOOKUP(F79, 'KODE PESAWAT'!$A$2:$C$42, 3, FALSE)</f>
        <v>Garuda Indonesia Group</v>
      </c>
      <c r="H79" s="10">
        <v>656000.0</v>
      </c>
      <c r="I79" s="10">
        <v>623200.0</v>
      </c>
      <c r="J79" s="10">
        <f t="shared" si="2"/>
        <v>32800</v>
      </c>
      <c r="K79" s="11">
        <f t="shared" si="3"/>
        <v>0.05</v>
      </c>
      <c r="L79" s="3" t="str">
        <f t="shared" si="4"/>
        <v>Normal</v>
      </c>
      <c r="M79" s="10">
        <f t="shared" si="5"/>
        <v>-32800</v>
      </c>
      <c r="N79" s="3" t="str">
        <f t="shared" si="6"/>
        <v>Issued</v>
      </c>
      <c r="O79" s="3" t="str">
        <f t="shared" si="7"/>
        <v>PROFIT</v>
      </c>
      <c r="P79" s="3">
        <f t="shared" si="8"/>
        <v>1</v>
      </c>
      <c r="Q79" s="3">
        <f t="shared" si="9"/>
        <v>1</v>
      </c>
      <c r="R79" s="12">
        <f t="shared" si="10"/>
        <v>0</v>
      </c>
    </row>
    <row r="80">
      <c r="A80" s="3" t="s">
        <v>110</v>
      </c>
      <c r="B80" s="4">
        <v>46267.0</v>
      </c>
      <c r="C80" s="4" t="str">
        <f t="shared" si="1"/>
        <v>September</v>
      </c>
      <c r="D80" s="3" t="s">
        <v>23</v>
      </c>
      <c r="E80" s="3" t="s">
        <v>15</v>
      </c>
      <c r="F80" s="3" t="s">
        <v>31</v>
      </c>
      <c r="G80" s="3" t="str">
        <f>VLOOKUP(F80, 'KODE PESAWAT'!$A$2:$C$42, 3, FALSE)</f>
        <v>Garuda Indonesia Group</v>
      </c>
      <c r="H80" s="10">
        <v>771000.0</v>
      </c>
      <c r="I80" s="10">
        <v>1927500.0</v>
      </c>
      <c r="J80" s="10">
        <f t="shared" si="2"/>
        <v>-1156500</v>
      </c>
      <c r="K80" s="11">
        <f t="shared" si="3"/>
        <v>-1.5</v>
      </c>
      <c r="L80" s="3" t="str">
        <f t="shared" si="4"/>
        <v>Over Buffer</v>
      </c>
      <c r="M80" s="10">
        <f t="shared" si="5"/>
        <v>-771000</v>
      </c>
      <c r="N80" s="3" t="str">
        <f t="shared" si="6"/>
        <v>Refund</v>
      </c>
      <c r="O80" s="3" t="str">
        <f t="shared" si="7"/>
        <v>N/A</v>
      </c>
      <c r="P80" s="3">
        <f t="shared" si="8"/>
        <v>0</v>
      </c>
      <c r="Q80" s="3">
        <f t="shared" si="9"/>
        <v>0</v>
      </c>
      <c r="R80" s="12">
        <f t="shared" si="10"/>
        <v>1</v>
      </c>
    </row>
    <row r="81">
      <c r="A81" s="3" t="s">
        <v>111</v>
      </c>
      <c r="B81" s="4">
        <v>46061.0</v>
      </c>
      <c r="C81" s="4" t="str">
        <f t="shared" si="1"/>
        <v>February</v>
      </c>
      <c r="D81" s="3" t="s">
        <v>30</v>
      </c>
      <c r="E81" s="3" t="s">
        <v>15</v>
      </c>
      <c r="F81" s="3" t="s">
        <v>112</v>
      </c>
      <c r="G81" s="3" t="str">
        <f>VLOOKUP(F81, 'KODE PESAWAT'!$A$2:$C$42, 3, FALSE)</f>
        <v>Tata Group / Singapore Airlines</v>
      </c>
      <c r="H81" s="10">
        <v>673000.0</v>
      </c>
      <c r="I81" s="10">
        <v>773949.9999999999</v>
      </c>
      <c r="J81" s="10">
        <f t="shared" si="2"/>
        <v>-100950</v>
      </c>
      <c r="K81" s="11">
        <f t="shared" si="3"/>
        <v>-0.15</v>
      </c>
      <c r="L81" s="3" t="str">
        <f t="shared" si="4"/>
        <v>Fare Increase</v>
      </c>
      <c r="M81" s="10">
        <f t="shared" si="5"/>
        <v>100950</v>
      </c>
      <c r="N81" s="3" t="str">
        <f t="shared" si="6"/>
        <v>Issued</v>
      </c>
      <c r="O81" s="3" t="str">
        <f t="shared" si="7"/>
        <v>LOSS</v>
      </c>
      <c r="P81" s="3">
        <f t="shared" si="8"/>
        <v>1</v>
      </c>
      <c r="Q81" s="3">
        <f t="shared" si="9"/>
        <v>0</v>
      </c>
      <c r="R81" s="12">
        <f t="shared" si="10"/>
        <v>0</v>
      </c>
    </row>
    <row r="82">
      <c r="A82" s="3" t="s">
        <v>113</v>
      </c>
      <c r="B82" s="4">
        <v>46303.0</v>
      </c>
      <c r="C82" s="4" t="str">
        <f t="shared" si="1"/>
        <v>October</v>
      </c>
      <c r="D82" s="3" t="s">
        <v>23</v>
      </c>
      <c r="E82" s="3" t="s">
        <v>15</v>
      </c>
      <c r="F82" s="3" t="s">
        <v>19</v>
      </c>
      <c r="G82" s="3" t="str">
        <f>VLOOKUP(F82, 'KODE PESAWAT'!$A$2:$C$42, 3, FALSE)</f>
        <v>Lion Air Group</v>
      </c>
      <c r="H82" s="10">
        <v>1751000.0</v>
      </c>
      <c r="I82" s="10">
        <v>2451400.0</v>
      </c>
      <c r="J82" s="10">
        <f t="shared" si="2"/>
        <v>-700400</v>
      </c>
      <c r="K82" s="11">
        <f t="shared" si="3"/>
        <v>-0.4</v>
      </c>
      <c r="L82" s="3" t="str">
        <f t="shared" si="4"/>
        <v>Fare Increase</v>
      </c>
      <c r="M82" s="10">
        <f t="shared" si="5"/>
        <v>700400</v>
      </c>
      <c r="N82" s="3" t="str">
        <f t="shared" si="6"/>
        <v>Issued</v>
      </c>
      <c r="O82" s="3" t="str">
        <f t="shared" si="7"/>
        <v>LOSS</v>
      </c>
      <c r="P82" s="3">
        <f t="shared" si="8"/>
        <v>1</v>
      </c>
      <c r="Q82" s="3">
        <f t="shared" si="9"/>
        <v>0</v>
      </c>
      <c r="R82" s="12">
        <f t="shared" si="10"/>
        <v>0</v>
      </c>
    </row>
    <row r="83">
      <c r="A83" s="3" t="s">
        <v>114</v>
      </c>
      <c r="B83" s="4">
        <v>46121.0</v>
      </c>
      <c r="C83" s="4" t="str">
        <f t="shared" si="1"/>
        <v>April</v>
      </c>
      <c r="D83" s="3" t="s">
        <v>10</v>
      </c>
      <c r="E83" s="3" t="s">
        <v>11</v>
      </c>
      <c r="F83" s="3" t="s">
        <v>63</v>
      </c>
      <c r="G83" s="3" t="str">
        <f>VLOOKUP(F83, 'KODE PESAWAT'!$A$2:$C$42, 3, FALSE)</f>
        <v>Lion Air Group</v>
      </c>
      <c r="H83" s="10">
        <v>747000.0</v>
      </c>
      <c r="I83" s="10">
        <v>709650.0</v>
      </c>
      <c r="J83" s="10">
        <f t="shared" si="2"/>
        <v>37350</v>
      </c>
      <c r="K83" s="11">
        <f t="shared" si="3"/>
        <v>0.05</v>
      </c>
      <c r="L83" s="3" t="str">
        <f t="shared" si="4"/>
        <v>Normal</v>
      </c>
      <c r="M83" s="10">
        <f t="shared" si="5"/>
        <v>-37350</v>
      </c>
      <c r="N83" s="3" t="str">
        <f t="shared" si="6"/>
        <v>Issued</v>
      </c>
      <c r="O83" s="3" t="str">
        <f t="shared" si="7"/>
        <v>PROFIT</v>
      </c>
      <c r="P83" s="3">
        <f t="shared" si="8"/>
        <v>1</v>
      </c>
      <c r="Q83" s="3">
        <f t="shared" si="9"/>
        <v>1</v>
      </c>
      <c r="R83" s="12">
        <f t="shared" si="10"/>
        <v>0</v>
      </c>
    </row>
    <row r="84">
      <c r="A84" s="3" t="s">
        <v>115</v>
      </c>
      <c r="B84" s="4">
        <v>46307.0</v>
      </c>
      <c r="C84" s="4" t="str">
        <f t="shared" si="1"/>
        <v>October</v>
      </c>
      <c r="D84" s="3" t="s">
        <v>25</v>
      </c>
      <c r="E84" s="3" t="s">
        <v>15</v>
      </c>
      <c r="F84" s="3" t="s">
        <v>116</v>
      </c>
      <c r="G84" s="3" t="str">
        <f>VLOOKUP(F84, 'KODE PESAWAT'!$A$2:$C$42, 3, FALSE)</f>
        <v>VietJet Group</v>
      </c>
      <c r="H84" s="10">
        <v>4217000.0</v>
      </c>
      <c r="I84" s="10">
        <v>4849550.0</v>
      </c>
      <c r="J84" s="10">
        <f t="shared" si="2"/>
        <v>-632550</v>
      </c>
      <c r="K84" s="11">
        <f t="shared" si="3"/>
        <v>-0.15</v>
      </c>
      <c r="L84" s="3" t="str">
        <f t="shared" si="4"/>
        <v>Fare Increase</v>
      </c>
      <c r="M84" s="10">
        <f t="shared" si="5"/>
        <v>632550</v>
      </c>
      <c r="N84" s="3" t="str">
        <f t="shared" si="6"/>
        <v>Issued</v>
      </c>
      <c r="O84" s="3" t="str">
        <f t="shared" si="7"/>
        <v>LOSS</v>
      </c>
      <c r="P84" s="3">
        <f t="shared" si="8"/>
        <v>1</v>
      </c>
      <c r="Q84" s="3">
        <f t="shared" si="9"/>
        <v>0</v>
      </c>
      <c r="R84" s="12">
        <f t="shared" si="10"/>
        <v>0</v>
      </c>
    </row>
    <row r="85">
      <c r="A85" s="3" t="s">
        <v>117</v>
      </c>
      <c r="B85" s="4">
        <v>46055.0</v>
      </c>
      <c r="C85" s="4" t="str">
        <f t="shared" si="1"/>
        <v>February</v>
      </c>
      <c r="D85" s="3" t="s">
        <v>14</v>
      </c>
      <c r="E85" s="3" t="s">
        <v>15</v>
      </c>
      <c r="F85" s="3" t="s">
        <v>16</v>
      </c>
      <c r="G85" s="3" t="str">
        <f>VLOOKUP(F85, 'KODE PESAWAT'!$A$2:$C$42, 3, FALSE)</f>
        <v>Thai Airways Group (Associate)</v>
      </c>
      <c r="H85" s="10">
        <v>1276000.0</v>
      </c>
      <c r="I85" s="10">
        <v>3190000.0</v>
      </c>
      <c r="J85" s="10">
        <f t="shared" si="2"/>
        <v>-1914000</v>
      </c>
      <c r="K85" s="11">
        <f t="shared" si="3"/>
        <v>-1.5</v>
      </c>
      <c r="L85" s="3" t="str">
        <f t="shared" si="4"/>
        <v>Over Buffer</v>
      </c>
      <c r="M85" s="10">
        <f t="shared" si="5"/>
        <v>-1276000</v>
      </c>
      <c r="N85" s="3" t="str">
        <f t="shared" si="6"/>
        <v>Refund</v>
      </c>
      <c r="O85" s="3" t="str">
        <f t="shared" si="7"/>
        <v>N/A</v>
      </c>
      <c r="P85" s="3">
        <f t="shared" si="8"/>
        <v>0</v>
      </c>
      <c r="Q85" s="3">
        <f t="shared" si="9"/>
        <v>0</v>
      </c>
      <c r="R85" s="12">
        <f t="shared" si="10"/>
        <v>1</v>
      </c>
    </row>
    <row r="86">
      <c r="A86" s="3" t="s">
        <v>118</v>
      </c>
      <c r="B86" s="4">
        <v>46084.0</v>
      </c>
      <c r="C86" s="4" t="str">
        <f t="shared" si="1"/>
        <v>March</v>
      </c>
      <c r="D86" s="3" t="s">
        <v>30</v>
      </c>
      <c r="E86" s="3" t="s">
        <v>15</v>
      </c>
      <c r="F86" s="3" t="s">
        <v>63</v>
      </c>
      <c r="G86" s="3" t="str">
        <f>VLOOKUP(F86, 'KODE PESAWAT'!$A$2:$C$42, 3, FALSE)</f>
        <v>Lion Air Group</v>
      </c>
      <c r="H86" s="10">
        <v>1330000.0</v>
      </c>
      <c r="I86" s="10">
        <v>1529499.9999999998</v>
      </c>
      <c r="J86" s="10">
        <f t="shared" si="2"/>
        <v>-199500</v>
      </c>
      <c r="K86" s="11">
        <f t="shared" si="3"/>
        <v>-0.15</v>
      </c>
      <c r="L86" s="3" t="str">
        <f t="shared" si="4"/>
        <v>Fare Increase</v>
      </c>
      <c r="M86" s="10">
        <f t="shared" si="5"/>
        <v>199500</v>
      </c>
      <c r="N86" s="3" t="str">
        <f t="shared" si="6"/>
        <v>Issued</v>
      </c>
      <c r="O86" s="3" t="str">
        <f t="shared" si="7"/>
        <v>LOSS</v>
      </c>
      <c r="P86" s="3">
        <f t="shared" si="8"/>
        <v>1</v>
      </c>
      <c r="Q86" s="3">
        <f t="shared" si="9"/>
        <v>0</v>
      </c>
      <c r="R86" s="12">
        <f t="shared" si="10"/>
        <v>0</v>
      </c>
    </row>
    <row r="87">
      <c r="A87" s="3" t="s">
        <v>119</v>
      </c>
      <c r="B87" s="4">
        <v>46216.0</v>
      </c>
      <c r="C87" s="4" t="str">
        <f t="shared" si="1"/>
        <v>July</v>
      </c>
      <c r="D87" s="3" t="s">
        <v>10</v>
      </c>
      <c r="E87" s="3" t="s">
        <v>11</v>
      </c>
      <c r="F87" s="3" t="s">
        <v>63</v>
      </c>
      <c r="G87" s="3" t="str">
        <f>VLOOKUP(F87, 'KODE PESAWAT'!$A$2:$C$42, 3, FALSE)</f>
        <v>Lion Air Group</v>
      </c>
      <c r="H87" s="10">
        <v>1531000.0</v>
      </c>
      <c r="I87" s="10">
        <v>1760649.9999999998</v>
      </c>
      <c r="J87" s="10">
        <f t="shared" si="2"/>
        <v>-229650</v>
      </c>
      <c r="K87" s="11">
        <f t="shared" si="3"/>
        <v>-0.15</v>
      </c>
      <c r="L87" s="3" t="str">
        <f t="shared" si="4"/>
        <v>Fare Increase</v>
      </c>
      <c r="M87" s="10">
        <f t="shared" si="5"/>
        <v>229650</v>
      </c>
      <c r="N87" s="3" t="str">
        <f t="shared" si="6"/>
        <v>Issued</v>
      </c>
      <c r="O87" s="3" t="str">
        <f t="shared" si="7"/>
        <v>LOSS</v>
      </c>
      <c r="P87" s="3">
        <f t="shared" si="8"/>
        <v>1</v>
      </c>
      <c r="Q87" s="3">
        <f t="shared" si="9"/>
        <v>0</v>
      </c>
      <c r="R87" s="12">
        <f t="shared" si="10"/>
        <v>0</v>
      </c>
    </row>
    <row r="88">
      <c r="A88" s="3" t="s">
        <v>120</v>
      </c>
      <c r="B88" s="4">
        <v>46068.0</v>
      </c>
      <c r="C88" s="4" t="str">
        <f t="shared" si="1"/>
        <v>February</v>
      </c>
      <c r="D88" s="3" t="s">
        <v>10</v>
      </c>
      <c r="E88" s="3" t="s">
        <v>11</v>
      </c>
      <c r="F88" s="3" t="s">
        <v>21</v>
      </c>
      <c r="G88" s="3" t="str">
        <f>VLOOKUP(F88, 'KODE PESAWAT'!$A$2:$C$42, 3, FALSE)</f>
        <v>Singapore Airlines Group</v>
      </c>
      <c r="H88" s="10">
        <v>9059000.0</v>
      </c>
      <c r="I88" s="10">
        <v>8606050.0</v>
      </c>
      <c r="J88" s="10">
        <f t="shared" si="2"/>
        <v>452950</v>
      </c>
      <c r="K88" s="11">
        <f t="shared" si="3"/>
        <v>0.05</v>
      </c>
      <c r="L88" s="3" t="str">
        <f t="shared" si="4"/>
        <v>Normal</v>
      </c>
      <c r="M88" s="10">
        <f t="shared" si="5"/>
        <v>-452950</v>
      </c>
      <c r="N88" s="3" t="str">
        <f t="shared" si="6"/>
        <v>Issued</v>
      </c>
      <c r="O88" s="3" t="str">
        <f t="shared" si="7"/>
        <v>PROFIT</v>
      </c>
      <c r="P88" s="3">
        <f t="shared" si="8"/>
        <v>1</v>
      </c>
      <c r="Q88" s="3">
        <f t="shared" si="9"/>
        <v>1</v>
      </c>
      <c r="R88" s="12">
        <f t="shared" si="10"/>
        <v>0</v>
      </c>
    </row>
    <row r="89">
      <c r="A89" s="3" t="s">
        <v>121</v>
      </c>
      <c r="B89" s="4">
        <v>46244.0</v>
      </c>
      <c r="C89" s="4" t="str">
        <f t="shared" si="1"/>
        <v>August</v>
      </c>
      <c r="D89" s="3" t="s">
        <v>18</v>
      </c>
      <c r="E89" s="3" t="s">
        <v>11</v>
      </c>
      <c r="F89" s="3" t="s">
        <v>21</v>
      </c>
      <c r="G89" s="3" t="str">
        <f>VLOOKUP(F89, 'KODE PESAWAT'!$A$2:$C$42, 3, FALSE)</f>
        <v>Singapore Airlines Group</v>
      </c>
      <c r="H89" s="10">
        <v>1120000.0</v>
      </c>
      <c r="I89" s="10">
        <v>2800000.0</v>
      </c>
      <c r="J89" s="10">
        <f t="shared" si="2"/>
        <v>-1680000</v>
      </c>
      <c r="K89" s="11">
        <f t="shared" si="3"/>
        <v>-1.5</v>
      </c>
      <c r="L89" s="3" t="str">
        <f t="shared" si="4"/>
        <v>Over Buffer</v>
      </c>
      <c r="M89" s="10">
        <f t="shared" si="5"/>
        <v>-1120000</v>
      </c>
      <c r="N89" s="3" t="str">
        <f t="shared" si="6"/>
        <v>Refund</v>
      </c>
      <c r="O89" s="3" t="str">
        <f t="shared" si="7"/>
        <v>N/A</v>
      </c>
      <c r="P89" s="3">
        <f t="shared" si="8"/>
        <v>0</v>
      </c>
      <c r="Q89" s="3">
        <f t="shared" si="9"/>
        <v>0</v>
      </c>
      <c r="R89" s="12">
        <f t="shared" si="10"/>
        <v>1</v>
      </c>
    </row>
    <row r="90">
      <c r="A90" s="3" t="s">
        <v>122</v>
      </c>
      <c r="B90" s="4">
        <v>46269.0</v>
      </c>
      <c r="C90" s="4" t="str">
        <f t="shared" si="1"/>
        <v>September</v>
      </c>
      <c r="D90" s="3" t="s">
        <v>23</v>
      </c>
      <c r="E90" s="3" t="s">
        <v>15</v>
      </c>
      <c r="F90" s="3" t="s">
        <v>19</v>
      </c>
      <c r="G90" s="3" t="str">
        <f>VLOOKUP(F90, 'KODE PESAWAT'!$A$2:$C$42, 3, FALSE)</f>
        <v>Lion Air Group</v>
      </c>
      <c r="H90" s="10">
        <v>1689000.0</v>
      </c>
      <c r="I90" s="10">
        <v>4222500.0</v>
      </c>
      <c r="J90" s="10">
        <f t="shared" si="2"/>
        <v>-2533500</v>
      </c>
      <c r="K90" s="11">
        <f t="shared" si="3"/>
        <v>-1.5</v>
      </c>
      <c r="L90" s="3" t="str">
        <f t="shared" si="4"/>
        <v>Over Buffer</v>
      </c>
      <c r="M90" s="10">
        <f t="shared" si="5"/>
        <v>-1689000</v>
      </c>
      <c r="N90" s="3" t="str">
        <f t="shared" si="6"/>
        <v>Refund</v>
      </c>
      <c r="O90" s="3" t="str">
        <f t="shared" si="7"/>
        <v>N/A</v>
      </c>
      <c r="P90" s="3">
        <f t="shared" si="8"/>
        <v>0</v>
      </c>
      <c r="Q90" s="3">
        <f t="shared" si="9"/>
        <v>0</v>
      </c>
      <c r="R90" s="12">
        <f t="shared" si="10"/>
        <v>1</v>
      </c>
    </row>
    <row r="91">
      <c r="A91" s="3" t="s">
        <v>123</v>
      </c>
      <c r="B91" s="4">
        <v>46379.0</v>
      </c>
      <c r="C91" s="4" t="str">
        <f t="shared" si="1"/>
        <v>December</v>
      </c>
      <c r="D91" s="3" t="s">
        <v>18</v>
      </c>
      <c r="E91" s="3" t="s">
        <v>11</v>
      </c>
      <c r="F91" s="3" t="s">
        <v>35</v>
      </c>
      <c r="G91" s="3" t="str">
        <f>VLOOKUP(F91, 'KODE PESAWAT'!$A$2:$C$42, 3, FALSE)</f>
        <v>Lion Air Group</v>
      </c>
      <c r="H91" s="10">
        <v>1089000.0</v>
      </c>
      <c r="I91" s="10">
        <v>1034550.0</v>
      </c>
      <c r="J91" s="10">
        <f t="shared" si="2"/>
        <v>54450</v>
      </c>
      <c r="K91" s="11">
        <f t="shared" si="3"/>
        <v>0.05</v>
      </c>
      <c r="L91" s="3" t="str">
        <f t="shared" si="4"/>
        <v>Normal</v>
      </c>
      <c r="M91" s="10">
        <f t="shared" si="5"/>
        <v>-54450</v>
      </c>
      <c r="N91" s="3" t="str">
        <f t="shared" si="6"/>
        <v>Issued</v>
      </c>
      <c r="O91" s="3" t="str">
        <f t="shared" si="7"/>
        <v>PROFIT</v>
      </c>
      <c r="P91" s="3">
        <f t="shared" si="8"/>
        <v>1</v>
      </c>
      <c r="Q91" s="3">
        <f t="shared" si="9"/>
        <v>1</v>
      </c>
      <c r="R91" s="12">
        <f t="shared" si="10"/>
        <v>0</v>
      </c>
    </row>
    <row r="92">
      <c r="A92" s="3" t="s">
        <v>124</v>
      </c>
      <c r="B92" s="4">
        <v>46181.0</v>
      </c>
      <c r="C92" s="4" t="str">
        <f t="shared" si="1"/>
        <v>June</v>
      </c>
      <c r="D92" s="3" t="s">
        <v>30</v>
      </c>
      <c r="E92" s="3" t="s">
        <v>15</v>
      </c>
      <c r="F92" s="3" t="s">
        <v>33</v>
      </c>
      <c r="G92" s="3" t="str">
        <f>VLOOKUP(F92, 'KODE PESAWAT'!$A$2:$C$42, 3, FALSE)</f>
        <v>Garuda Indonesia Group</v>
      </c>
      <c r="H92" s="10">
        <v>1091000.0</v>
      </c>
      <c r="I92" s="10">
        <v>2727500.0</v>
      </c>
      <c r="J92" s="10">
        <f t="shared" si="2"/>
        <v>-1636500</v>
      </c>
      <c r="K92" s="11">
        <f t="shared" si="3"/>
        <v>-1.5</v>
      </c>
      <c r="L92" s="3" t="str">
        <f t="shared" si="4"/>
        <v>Over Buffer</v>
      </c>
      <c r="M92" s="10">
        <f t="shared" si="5"/>
        <v>-1091000</v>
      </c>
      <c r="N92" s="3" t="str">
        <f t="shared" si="6"/>
        <v>Refund</v>
      </c>
      <c r="O92" s="3" t="str">
        <f t="shared" si="7"/>
        <v>N/A</v>
      </c>
      <c r="P92" s="3">
        <f t="shared" si="8"/>
        <v>0</v>
      </c>
      <c r="Q92" s="3">
        <f t="shared" si="9"/>
        <v>0</v>
      </c>
      <c r="R92" s="12">
        <f t="shared" si="10"/>
        <v>1</v>
      </c>
    </row>
    <row r="93">
      <c r="A93" s="3" t="s">
        <v>125</v>
      </c>
      <c r="B93" s="4">
        <v>46362.0</v>
      </c>
      <c r="C93" s="4" t="str">
        <f t="shared" si="1"/>
        <v>December</v>
      </c>
      <c r="D93" s="3" t="s">
        <v>23</v>
      </c>
      <c r="E93" s="3" t="s">
        <v>15</v>
      </c>
      <c r="F93" s="3" t="s">
        <v>33</v>
      </c>
      <c r="G93" s="3" t="str">
        <f>VLOOKUP(F93, 'KODE PESAWAT'!$A$2:$C$42, 3, FALSE)</f>
        <v>Garuda Indonesia Group</v>
      </c>
      <c r="H93" s="10">
        <v>668000.0</v>
      </c>
      <c r="I93" s="10">
        <v>634600.0</v>
      </c>
      <c r="J93" s="10">
        <f t="shared" si="2"/>
        <v>33400</v>
      </c>
      <c r="K93" s="11">
        <f t="shared" si="3"/>
        <v>0.05</v>
      </c>
      <c r="L93" s="3" t="str">
        <f t="shared" si="4"/>
        <v>Normal</v>
      </c>
      <c r="M93" s="10">
        <f t="shared" si="5"/>
        <v>-33400</v>
      </c>
      <c r="N93" s="3" t="str">
        <f t="shared" si="6"/>
        <v>Issued</v>
      </c>
      <c r="O93" s="3" t="str">
        <f t="shared" si="7"/>
        <v>PROFIT</v>
      </c>
      <c r="P93" s="3">
        <f t="shared" si="8"/>
        <v>1</v>
      </c>
      <c r="Q93" s="3">
        <f t="shared" si="9"/>
        <v>1</v>
      </c>
      <c r="R93" s="12">
        <f t="shared" si="10"/>
        <v>0</v>
      </c>
    </row>
    <row r="94">
      <c r="A94" s="3" t="s">
        <v>126</v>
      </c>
      <c r="B94" s="4">
        <v>46064.0</v>
      </c>
      <c r="C94" s="4" t="str">
        <f t="shared" si="1"/>
        <v>February</v>
      </c>
      <c r="D94" s="3" t="s">
        <v>10</v>
      </c>
      <c r="E94" s="3" t="s">
        <v>11</v>
      </c>
      <c r="F94" s="3" t="s">
        <v>21</v>
      </c>
      <c r="G94" s="3" t="str">
        <f>VLOOKUP(F94, 'KODE PESAWAT'!$A$2:$C$42, 3, FALSE)</f>
        <v>Singapore Airlines Group</v>
      </c>
      <c r="H94" s="10">
        <v>2069000.0</v>
      </c>
      <c r="I94" s="10">
        <v>2379350.0</v>
      </c>
      <c r="J94" s="10">
        <f t="shared" si="2"/>
        <v>-310350</v>
      </c>
      <c r="K94" s="11">
        <f t="shared" si="3"/>
        <v>-0.15</v>
      </c>
      <c r="L94" s="3" t="str">
        <f t="shared" si="4"/>
        <v>Fare Increase</v>
      </c>
      <c r="M94" s="10">
        <f t="shared" si="5"/>
        <v>310350</v>
      </c>
      <c r="N94" s="3" t="str">
        <f t="shared" si="6"/>
        <v>Issued</v>
      </c>
      <c r="O94" s="3" t="str">
        <f t="shared" si="7"/>
        <v>LOSS</v>
      </c>
      <c r="P94" s="3">
        <f t="shared" si="8"/>
        <v>1</v>
      </c>
      <c r="Q94" s="3">
        <f t="shared" si="9"/>
        <v>0</v>
      </c>
      <c r="R94" s="12">
        <f t="shared" si="10"/>
        <v>0</v>
      </c>
    </row>
    <row r="95">
      <c r="A95" s="3" t="s">
        <v>127</v>
      </c>
      <c r="B95" s="4">
        <v>46066.0</v>
      </c>
      <c r="C95" s="4" t="str">
        <f t="shared" si="1"/>
        <v>February</v>
      </c>
      <c r="D95" s="3" t="s">
        <v>10</v>
      </c>
      <c r="E95" s="3" t="s">
        <v>11</v>
      </c>
      <c r="F95" s="3" t="s">
        <v>19</v>
      </c>
      <c r="G95" s="3" t="str">
        <f>VLOOKUP(F95, 'KODE PESAWAT'!$A$2:$C$42, 3, FALSE)</f>
        <v>Lion Air Group</v>
      </c>
      <c r="H95" s="10">
        <v>1165000.0</v>
      </c>
      <c r="I95" s="10">
        <v>2912500.0</v>
      </c>
      <c r="J95" s="10">
        <f t="shared" si="2"/>
        <v>-1747500</v>
      </c>
      <c r="K95" s="11">
        <f t="shared" si="3"/>
        <v>-1.5</v>
      </c>
      <c r="L95" s="3" t="str">
        <f t="shared" si="4"/>
        <v>Over Buffer</v>
      </c>
      <c r="M95" s="10">
        <f t="shared" si="5"/>
        <v>-1165000</v>
      </c>
      <c r="N95" s="3" t="str">
        <f t="shared" si="6"/>
        <v>Refund</v>
      </c>
      <c r="O95" s="3" t="str">
        <f t="shared" si="7"/>
        <v>N/A</v>
      </c>
      <c r="P95" s="3">
        <f t="shared" si="8"/>
        <v>0</v>
      </c>
      <c r="Q95" s="3">
        <f t="shared" si="9"/>
        <v>0</v>
      </c>
      <c r="R95" s="12">
        <f t="shared" si="10"/>
        <v>1</v>
      </c>
    </row>
    <row r="96">
      <c r="A96" s="3" t="s">
        <v>128</v>
      </c>
      <c r="B96" s="4">
        <v>46124.0</v>
      </c>
      <c r="C96" s="4" t="str">
        <f t="shared" si="1"/>
        <v>April</v>
      </c>
      <c r="D96" s="3" t="s">
        <v>14</v>
      </c>
      <c r="E96" s="3" t="s">
        <v>15</v>
      </c>
      <c r="F96" s="3" t="s">
        <v>16</v>
      </c>
      <c r="G96" s="3" t="str">
        <f>VLOOKUP(F96, 'KODE PESAWAT'!$A$2:$C$42, 3, FALSE)</f>
        <v>Thai Airways Group (Associate)</v>
      </c>
      <c r="H96" s="10">
        <v>1605000.0</v>
      </c>
      <c r="I96" s="10">
        <v>1524750.0</v>
      </c>
      <c r="J96" s="10">
        <f t="shared" si="2"/>
        <v>80250</v>
      </c>
      <c r="K96" s="11">
        <f t="shared" si="3"/>
        <v>0.05</v>
      </c>
      <c r="L96" s="3" t="str">
        <f t="shared" si="4"/>
        <v>Normal</v>
      </c>
      <c r="M96" s="10">
        <f t="shared" si="5"/>
        <v>-80250</v>
      </c>
      <c r="N96" s="3" t="str">
        <f t="shared" si="6"/>
        <v>Issued</v>
      </c>
      <c r="O96" s="3" t="str">
        <f t="shared" si="7"/>
        <v>PROFIT</v>
      </c>
      <c r="P96" s="3">
        <f t="shared" si="8"/>
        <v>1</v>
      </c>
      <c r="Q96" s="3">
        <f t="shared" si="9"/>
        <v>1</v>
      </c>
      <c r="R96" s="12">
        <f t="shared" si="10"/>
        <v>0</v>
      </c>
    </row>
    <row r="97">
      <c r="A97" s="3" t="s">
        <v>129</v>
      </c>
      <c r="B97" s="4">
        <v>46299.0</v>
      </c>
      <c r="C97" s="4" t="str">
        <f t="shared" si="1"/>
        <v>October</v>
      </c>
      <c r="D97" s="3" t="s">
        <v>25</v>
      </c>
      <c r="E97" s="3" t="s">
        <v>15</v>
      </c>
      <c r="F97" s="3" t="s">
        <v>61</v>
      </c>
      <c r="G97" s="3" t="str">
        <f>VLOOKUP(F97, 'KODE PESAWAT'!$A$2:$C$42, 3, FALSE)</f>
        <v>Vietravel Group</v>
      </c>
      <c r="H97" s="10">
        <v>1.4119E7</v>
      </c>
      <c r="I97" s="10">
        <v>3.52975E7</v>
      </c>
      <c r="J97" s="10">
        <f t="shared" si="2"/>
        <v>-21178500</v>
      </c>
      <c r="K97" s="11">
        <f t="shared" si="3"/>
        <v>-1.5</v>
      </c>
      <c r="L97" s="3" t="str">
        <f t="shared" si="4"/>
        <v>Over Buffer</v>
      </c>
      <c r="M97" s="10">
        <f t="shared" si="5"/>
        <v>-14119000</v>
      </c>
      <c r="N97" s="3" t="str">
        <f t="shared" si="6"/>
        <v>Refund</v>
      </c>
      <c r="O97" s="3" t="str">
        <f t="shared" si="7"/>
        <v>N/A</v>
      </c>
      <c r="P97" s="3">
        <f t="shared" si="8"/>
        <v>0</v>
      </c>
      <c r="Q97" s="3">
        <f t="shared" si="9"/>
        <v>0</v>
      </c>
      <c r="R97" s="12">
        <f t="shared" si="10"/>
        <v>1</v>
      </c>
    </row>
    <row r="98">
      <c r="A98" s="3" t="s">
        <v>130</v>
      </c>
      <c r="B98" s="4">
        <v>46225.0</v>
      </c>
      <c r="C98" s="4" t="str">
        <f t="shared" si="1"/>
        <v>July</v>
      </c>
      <c r="D98" s="3" t="s">
        <v>30</v>
      </c>
      <c r="E98" s="3" t="s">
        <v>15</v>
      </c>
      <c r="F98" s="3" t="s">
        <v>19</v>
      </c>
      <c r="G98" s="3" t="str">
        <f>VLOOKUP(F98, 'KODE PESAWAT'!$A$2:$C$42, 3, FALSE)</f>
        <v>Lion Air Group</v>
      </c>
      <c r="H98" s="10">
        <v>1034000.0</v>
      </c>
      <c r="I98" s="10">
        <v>1189100.0</v>
      </c>
      <c r="J98" s="10">
        <f t="shared" si="2"/>
        <v>-155100</v>
      </c>
      <c r="K98" s="11">
        <f t="shared" si="3"/>
        <v>-0.15</v>
      </c>
      <c r="L98" s="3" t="str">
        <f t="shared" si="4"/>
        <v>Fare Increase</v>
      </c>
      <c r="M98" s="10">
        <f t="shared" si="5"/>
        <v>155100</v>
      </c>
      <c r="N98" s="3" t="str">
        <f t="shared" si="6"/>
        <v>Issued</v>
      </c>
      <c r="O98" s="3" t="str">
        <f t="shared" si="7"/>
        <v>LOSS</v>
      </c>
      <c r="P98" s="3">
        <f t="shared" si="8"/>
        <v>1</v>
      </c>
      <c r="Q98" s="3">
        <f t="shared" si="9"/>
        <v>0</v>
      </c>
      <c r="R98" s="12">
        <f t="shared" si="10"/>
        <v>0</v>
      </c>
    </row>
    <row r="99">
      <c r="A99" s="3" t="s">
        <v>131</v>
      </c>
      <c r="B99" s="4">
        <v>46333.0</v>
      </c>
      <c r="C99" s="4" t="str">
        <f t="shared" si="1"/>
        <v>November</v>
      </c>
      <c r="D99" s="3" t="s">
        <v>14</v>
      </c>
      <c r="E99" s="3" t="s">
        <v>15</v>
      </c>
      <c r="F99" s="3" t="s">
        <v>16</v>
      </c>
      <c r="G99" s="3" t="str">
        <f>VLOOKUP(F99, 'KODE PESAWAT'!$A$2:$C$42, 3, FALSE)</f>
        <v>Thai Airways Group (Associate)</v>
      </c>
      <c r="H99" s="10">
        <v>1358000.0</v>
      </c>
      <c r="I99" s="10">
        <v>1290100.0</v>
      </c>
      <c r="J99" s="10">
        <f t="shared" si="2"/>
        <v>67900</v>
      </c>
      <c r="K99" s="11">
        <f t="shared" si="3"/>
        <v>0.05</v>
      </c>
      <c r="L99" s="3" t="str">
        <f t="shared" si="4"/>
        <v>Normal</v>
      </c>
      <c r="M99" s="10">
        <f t="shared" si="5"/>
        <v>-67900</v>
      </c>
      <c r="N99" s="3" t="str">
        <f t="shared" si="6"/>
        <v>Issued</v>
      </c>
      <c r="O99" s="3" t="str">
        <f t="shared" si="7"/>
        <v>PROFIT</v>
      </c>
      <c r="P99" s="3">
        <f t="shared" si="8"/>
        <v>1</v>
      </c>
      <c r="Q99" s="3">
        <f t="shared" si="9"/>
        <v>1</v>
      </c>
      <c r="R99" s="12">
        <f t="shared" si="10"/>
        <v>0</v>
      </c>
    </row>
    <row r="100">
      <c r="A100" s="3" t="s">
        <v>132</v>
      </c>
      <c r="B100" s="4">
        <v>46248.0</v>
      </c>
      <c r="C100" s="4" t="str">
        <f t="shared" si="1"/>
        <v>August</v>
      </c>
      <c r="D100" s="3" t="s">
        <v>14</v>
      </c>
      <c r="E100" s="3" t="s">
        <v>15</v>
      </c>
      <c r="F100" s="3" t="s">
        <v>63</v>
      </c>
      <c r="G100" s="3" t="str">
        <f>VLOOKUP(F100, 'KODE PESAWAT'!$A$2:$C$42, 3, FALSE)</f>
        <v>Lion Air Group</v>
      </c>
      <c r="H100" s="10">
        <v>1697000.0</v>
      </c>
      <c r="I100" s="10">
        <v>4242500.0</v>
      </c>
      <c r="J100" s="10">
        <f t="shared" si="2"/>
        <v>-2545500</v>
      </c>
      <c r="K100" s="11">
        <f t="shared" si="3"/>
        <v>-1.5</v>
      </c>
      <c r="L100" s="3" t="str">
        <f t="shared" si="4"/>
        <v>Over Buffer</v>
      </c>
      <c r="M100" s="10">
        <f t="shared" si="5"/>
        <v>-1697000</v>
      </c>
      <c r="N100" s="3" t="str">
        <f t="shared" si="6"/>
        <v>Refund</v>
      </c>
      <c r="O100" s="3" t="str">
        <f t="shared" si="7"/>
        <v>N/A</v>
      </c>
      <c r="P100" s="3">
        <f t="shared" si="8"/>
        <v>0</v>
      </c>
      <c r="Q100" s="3">
        <f t="shared" si="9"/>
        <v>0</v>
      </c>
      <c r="R100" s="12">
        <f t="shared" si="10"/>
        <v>1</v>
      </c>
    </row>
    <row r="101">
      <c r="A101" s="3" t="s">
        <v>133</v>
      </c>
      <c r="B101" s="4">
        <v>46293.0</v>
      </c>
      <c r="C101" s="4" t="str">
        <f t="shared" si="1"/>
        <v>September</v>
      </c>
      <c r="D101" s="3" t="s">
        <v>23</v>
      </c>
      <c r="E101" s="3" t="s">
        <v>15</v>
      </c>
      <c r="F101" s="3" t="s">
        <v>19</v>
      </c>
      <c r="G101" s="3" t="str">
        <f>VLOOKUP(F101, 'KODE PESAWAT'!$A$2:$C$42, 3, FALSE)</f>
        <v>Lion Air Group</v>
      </c>
      <c r="H101" s="10">
        <v>1293000.0</v>
      </c>
      <c r="I101" s="10">
        <v>1228350.0</v>
      </c>
      <c r="J101" s="10">
        <f t="shared" si="2"/>
        <v>64650</v>
      </c>
      <c r="K101" s="11">
        <f t="shared" si="3"/>
        <v>0.05</v>
      </c>
      <c r="L101" s="3" t="str">
        <f t="shared" si="4"/>
        <v>Normal</v>
      </c>
      <c r="M101" s="10">
        <f t="shared" si="5"/>
        <v>-64650</v>
      </c>
      <c r="N101" s="3" t="str">
        <f t="shared" si="6"/>
        <v>Issued</v>
      </c>
      <c r="O101" s="3" t="str">
        <f t="shared" si="7"/>
        <v>PROFIT</v>
      </c>
      <c r="P101" s="3">
        <f t="shared" si="8"/>
        <v>1</v>
      </c>
      <c r="Q101" s="3">
        <f t="shared" si="9"/>
        <v>1</v>
      </c>
      <c r="R101" s="12">
        <f t="shared" si="10"/>
        <v>0</v>
      </c>
    </row>
    <row r="102">
      <c r="A102" s="3" t="s">
        <v>134</v>
      </c>
      <c r="B102" s="4">
        <v>46225.0</v>
      </c>
      <c r="C102" s="4" t="str">
        <f t="shared" si="1"/>
        <v>July</v>
      </c>
      <c r="D102" s="3" t="s">
        <v>25</v>
      </c>
      <c r="E102" s="3" t="s">
        <v>15</v>
      </c>
      <c r="F102" s="3" t="s">
        <v>61</v>
      </c>
      <c r="G102" s="3" t="str">
        <f>VLOOKUP(F102, 'KODE PESAWAT'!$A$2:$C$42, 3, FALSE)</f>
        <v>Vietravel Group</v>
      </c>
      <c r="H102" s="10">
        <v>1742000.0</v>
      </c>
      <c r="I102" s="10">
        <v>1654900.0</v>
      </c>
      <c r="J102" s="10">
        <f t="shared" si="2"/>
        <v>87100</v>
      </c>
      <c r="K102" s="11">
        <f t="shared" si="3"/>
        <v>0.05</v>
      </c>
      <c r="L102" s="3" t="str">
        <f t="shared" si="4"/>
        <v>Normal</v>
      </c>
      <c r="M102" s="10">
        <f t="shared" si="5"/>
        <v>-87100</v>
      </c>
      <c r="N102" s="3" t="str">
        <f t="shared" si="6"/>
        <v>Issued</v>
      </c>
      <c r="O102" s="3" t="str">
        <f t="shared" si="7"/>
        <v>PROFIT</v>
      </c>
      <c r="P102" s="3">
        <f t="shared" si="8"/>
        <v>1</v>
      </c>
      <c r="Q102" s="3">
        <f t="shared" si="9"/>
        <v>1</v>
      </c>
      <c r="R102" s="12">
        <f t="shared" si="10"/>
        <v>0</v>
      </c>
    </row>
    <row r="103">
      <c r="A103" s="3" t="s">
        <v>135</v>
      </c>
      <c r="B103" s="4">
        <v>46213.0</v>
      </c>
      <c r="C103" s="4" t="str">
        <f t="shared" si="1"/>
        <v>July</v>
      </c>
      <c r="D103" s="3" t="s">
        <v>30</v>
      </c>
      <c r="E103" s="3" t="s">
        <v>15</v>
      </c>
      <c r="F103" s="3" t="s">
        <v>136</v>
      </c>
      <c r="G103" s="3" t="str">
        <f>VLOOKUP(F103, 'KODE PESAWAT'!$A$2:$C$42, 3, FALSE)</f>
        <v>AirAsia Group</v>
      </c>
      <c r="H103" s="10">
        <v>1569000.0</v>
      </c>
      <c r="I103" s="10">
        <v>1490550.0</v>
      </c>
      <c r="J103" s="10">
        <f t="shared" si="2"/>
        <v>78450</v>
      </c>
      <c r="K103" s="11">
        <f t="shared" si="3"/>
        <v>0.05</v>
      </c>
      <c r="L103" s="3" t="str">
        <f t="shared" si="4"/>
        <v>Normal</v>
      </c>
      <c r="M103" s="10">
        <f t="shared" si="5"/>
        <v>-78450</v>
      </c>
      <c r="N103" s="3" t="str">
        <f t="shared" si="6"/>
        <v>Issued</v>
      </c>
      <c r="O103" s="3" t="str">
        <f t="shared" si="7"/>
        <v>PROFIT</v>
      </c>
      <c r="P103" s="3">
        <f t="shared" si="8"/>
        <v>1</v>
      </c>
      <c r="Q103" s="3">
        <f t="shared" si="9"/>
        <v>1</v>
      </c>
      <c r="R103" s="12">
        <f t="shared" si="10"/>
        <v>0</v>
      </c>
    </row>
    <row r="104">
      <c r="A104" s="3" t="s">
        <v>137</v>
      </c>
      <c r="B104" s="4">
        <v>46349.0</v>
      </c>
      <c r="C104" s="4" t="str">
        <f t="shared" si="1"/>
        <v>November</v>
      </c>
      <c r="D104" s="3" t="s">
        <v>10</v>
      </c>
      <c r="E104" s="3" t="s">
        <v>11</v>
      </c>
      <c r="F104" s="3" t="s">
        <v>35</v>
      </c>
      <c r="G104" s="3" t="str">
        <f>VLOOKUP(F104, 'KODE PESAWAT'!$A$2:$C$42, 3, FALSE)</f>
        <v>Lion Air Group</v>
      </c>
      <c r="H104" s="10">
        <v>4334000.0</v>
      </c>
      <c r="I104" s="10">
        <v>6067600.0</v>
      </c>
      <c r="J104" s="10">
        <f t="shared" si="2"/>
        <v>-1733600</v>
      </c>
      <c r="K104" s="11">
        <f t="shared" si="3"/>
        <v>-0.4</v>
      </c>
      <c r="L104" s="3" t="str">
        <f t="shared" si="4"/>
        <v>Fare Increase</v>
      </c>
      <c r="M104" s="10">
        <f t="shared" si="5"/>
        <v>1733600</v>
      </c>
      <c r="N104" s="3" t="str">
        <f t="shared" si="6"/>
        <v>Issued</v>
      </c>
      <c r="O104" s="3" t="str">
        <f t="shared" si="7"/>
        <v>LOSS</v>
      </c>
      <c r="P104" s="3">
        <f t="shared" si="8"/>
        <v>1</v>
      </c>
      <c r="Q104" s="3">
        <f t="shared" si="9"/>
        <v>0</v>
      </c>
      <c r="R104" s="12">
        <f t="shared" si="10"/>
        <v>0</v>
      </c>
    </row>
    <row r="105">
      <c r="A105" s="3" t="s">
        <v>138</v>
      </c>
      <c r="B105" s="4">
        <v>46145.0</v>
      </c>
      <c r="C105" s="4" t="str">
        <f t="shared" si="1"/>
        <v>May</v>
      </c>
      <c r="D105" s="3" t="s">
        <v>30</v>
      </c>
      <c r="E105" s="3" t="s">
        <v>15</v>
      </c>
      <c r="F105" s="3" t="s">
        <v>21</v>
      </c>
      <c r="G105" s="3" t="str">
        <f>VLOOKUP(F105, 'KODE PESAWAT'!$A$2:$C$42, 3, FALSE)</f>
        <v>Singapore Airlines Group</v>
      </c>
      <c r="H105" s="10">
        <v>3642000.0</v>
      </c>
      <c r="I105" s="10">
        <v>9105000.0</v>
      </c>
      <c r="J105" s="10">
        <f t="shared" si="2"/>
        <v>-5463000</v>
      </c>
      <c r="K105" s="11">
        <f t="shared" si="3"/>
        <v>-1.5</v>
      </c>
      <c r="L105" s="3" t="str">
        <f t="shared" si="4"/>
        <v>Over Buffer</v>
      </c>
      <c r="M105" s="10">
        <f t="shared" si="5"/>
        <v>-3642000</v>
      </c>
      <c r="N105" s="3" t="str">
        <f t="shared" si="6"/>
        <v>Refund</v>
      </c>
      <c r="O105" s="3" t="str">
        <f t="shared" si="7"/>
        <v>N/A</v>
      </c>
      <c r="P105" s="3">
        <f t="shared" si="8"/>
        <v>0</v>
      </c>
      <c r="Q105" s="3">
        <f t="shared" si="9"/>
        <v>0</v>
      </c>
      <c r="R105" s="12">
        <f t="shared" si="10"/>
        <v>1</v>
      </c>
    </row>
    <row r="106">
      <c r="A106" s="3" t="s">
        <v>139</v>
      </c>
      <c r="B106" s="4">
        <v>46136.0</v>
      </c>
      <c r="C106" s="4" t="str">
        <f t="shared" si="1"/>
        <v>April</v>
      </c>
      <c r="D106" s="3" t="s">
        <v>25</v>
      </c>
      <c r="E106" s="3" t="s">
        <v>15</v>
      </c>
      <c r="F106" s="3" t="s">
        <v>116</v>
      </c>
      <c r="G106" s="3" t="str">
        <f>VLOOKUP(F106, 'KODE PESAWAT'!$A$2:$C$42, 3, FALSE)</f>
        <v>VietJet Group</v>
      </c>
      <c r="H106" s="10">
        <v>1096000.0</v>
      </c>
      <c r="I106" s="10">
        <v>1260400.0</v>
      </c>
      <c r="J106" s="10">
        <f t="shared" si="2"/>
        <v>-164400</v>
      </c>
      <c r="K106" s="11">
        <f t="shared" si="3"/>
        <v>-0.15</v>
      </c>
      <c r="L106" s="3" t="str">
        <f t="shared" si="4"/>
        <v>Fare Increase</v>
      </c>
      <c r="M106" s="10">
        <f t="shared" si="5"/>
        <v>164400</v>
      </c>
      <c r="N106" s="3" t="str">
        <f t="shared" si="6"/>
        <v>Issued</v>
      </c>
      <c r="O106" s="3" t="str">
        <f t="shared" si="7"/>
        <v>LOSS</v>
      </c>
      <c r="P106" s="3">
        <f t="shared" si="8"/>
        <v>1</v>
      </c>
      <c r="Q106" s="3">
        <f t="shared" si="9"/>
        <v>0</v>
      </c>
      <c r="R106" s="12">
        <f t="shared" si="10"/>
        <v>0</v>
      </c>
    </row>
    <row r="107">
      <c r="A107" s="3" t="s">
        <v>140</v>
      </c>
      <c r="B107" s="4">
        <v>46143.0</v>
      </c>
      <c r="C107" s="4" t="str">
        <f t="shared" si="1"/>
        <v>May</v>
      </c>
      <c r="D107" s="3" t="s">
        <v>14</v>
      </c>
      <c r="E107" s="3" t="s">
        <v>15</v>
      </c>
      <c r="F107" s="3" t="s">
        <v>37</v>
      </c>
      <c r="G107" s="3" t="str">
        <f>VLOOKUP(F107, 'KODE PESAWAT'!$A$2:$C$42, 3, FALSE)</f>
        <v>Lion Air Group</v>
      </c>
      <c r="H107" s="10">
        <v>1176000.0</v>
      </c>
      <c r="I107" s="10">
        <v>1117200.0</v>
      </c>
      <c r="J107" s="10">
        <f t="shared" si="2"/>
        <v>58800</v>
      </c>
      <c r="K107" s="11">
        <f t="shared" si="3"/>
        <v>0.05</v>
      </c>
      <c r="L107" s="3" t="str">
        <f t="shared" si="4"/>
        <v>Normal</v>
      </c>
      <c r="M107" s="10">
        <f t="shared" si="5"/>
        <v>-58800</v>
      </c>
      <c r="N107" s="3" t="str">
        <f t="shared" si="6"/>
        <v>Issued</v>
      </c>
      <c r="O107" s="3" t="str">
        <f t="shared" si="7"/>
        <v>PROFIT</v>
      </c>
      <c r="P107" s="3">
        <f t="shared" si="8"/>
        <v>1</v>
      </c>
      <c r="Q107" s="3">
        <f t="shared" si="9"/>
        <v>1</v>
      </c>
      <c r="R107" s="12">
        <f t="shared" si="10"/>
        <v>0</v>
      </c>
    </row>
    <row r="108">
      <c r="A108" s="3" t="s">
        <v>141</v>
      </c>
      <c r="B108" s="4">
        <v>46118.0</v>
      </c>
      <c r="C108" s="4" t="str">
        <f t="shared" si="1"/>
        <v>April</v>
      </c>
      <c r="D108" s="3" t="s">
        <v>14</v>
      </c>
      <c r="E108" s="3" t="s">
        <v>15</v>
      </c>
      <c r="F108" s="3" t="s">
        <v>37</v>
      </c>
      <c r="G108" s="3" t="str">
        <f>VLOOKUP(F108, 'KODE PESAWAT'!$A$2:$C$42, 3, FALSE)</f>
        <v>Lion Air Group</v>
      </c>
      <c r="H108" s="10">
        <v>1578000.0</v>
      </c>
      <c r="I108" s="10">
        <v>3945000.0</v>
      </c>
      <c r="J108" s="10">
        <f t="shared" si="2"/>
        <v>-2367000</v>
      </c>
      <c r="K108" s="11">
        <f t="shared" si="3"/>
        <v>-1.5</v>
      </c>
      <c r="L108" s="3" t="str">
        <f t="shared" si="4"/>
        <v>Over Buffer</v>
      </c>
      <c r="M108" s="10">
        <f t="shared" si="5"/>
        <v>-1578000</v>
      </c>
      <c r="N108" s="3" t="str">
        <f t="shared" si="6"/>
        <v>Refund</v>
      </c>
      <c r="O108" s="3" t="str">
        <f t="shared" si="7"/>
        <v>N/A</v>
      </c>
      <c r="P108" s="3">
        <f t="shared" si="8"/>
        <v>0</v>
      </c>
      <c r="Q108" s="3">
        <f t="shared" si="9"/>
        <v>0</v>
      </c>
      <c r="R108" s="12">
        <f t="shared" si="10"/>
        <v>1</v>
      </c>
    </row>
    <row r="109">
      <c r="A109" s="3" t="s">
        <v>142</v>
      </c>
      <c r="B109" s="4">
        <v>46352.0</v>
      </c>
      <c r="C109" s="4" t="str">
        <f t="shared" si="1"/>
        <v>November</v>
      </c>
      <c r="D109" s="3" t="s">
        <v>14</v>
      </c>
      <c r="E109" s="3" t="s">
        <v>15</v>
      </c>
      <c r="F109" s="3" t="s">
        <v>37</v>
      </c>
      <c r="G109" s="3" t="str">
        <f>VLOOKUP(F109, 'KODE PESAWAT'!$A$2:$C$42, 3, FALSE)</f>
        <v>Lion Air Group</v>
      </c>
      <c r="H109" s="10">
        <v>1689000.0</v>
      </c>
      <c r="I109" s="10">
        <v>2364600.0</v>
      </c>
      <c r="J109" s="10">
        <f t="shared" si="2"/>
        <v>-675600</v>
      </c>
      <c r="K109" s="11">
        <f t="shared" si="3"/>
        <v>-0.4</v>
      </c>
      <c r="L109" s="3" t="str">
        <f t="shared" si="4"/>
        <v>Fare Increase</v>
      </c>
      <c r="M109" s="10">
        <f t="shared" si="5"/>
        <v>675600</v>
      </c>
      <c r="N109" s="3" t="str">
        <f t="shared" si="6"/>
        <v>Issued</v>
      </c>
      <c r="O109" s="3" t="str">
        <f t="shared" si="7"/>
        <v>LOSS</v>
      </c>
      <c r="P109" s="3">
        <f t="shared" si="8"/>
        <v>1</v>
      </c>
      <c r="Q109" s="3">
        <f t="shared" si="9"/>
        <v>0</v>
      </c>
      <c r="R109" s="12">
        <f t="shared" si="10"/>
        <v>0</v>
      </c>
    </row>
    <row r="110">
      <c r="A110" s="3" t="s">
        <v>143</v>
      </c>
      <c r="B110" s="4">
        <v>46341.0</v>
      </c>
      <c r="C110" s="4" t="str">
        <f t="shared" si="1"/>
        <v>November</v>
      </c>
      <c r="D110" s="3" t="s">
        <v>18</v>
      </c>
      <c r="E110" s="3" t="s">
        <v>11</v>
      </c>
      <c r="F110" s="3" t="s">
        <v>35</v>
      </c>
      <c r="G110" s="3" t="str">
        <f>VLOOKUP(F110, 'KODE PESAWAT'!$A$2:$C$42, 3, FALSE)</f>
        <v>Lion Air Group</v>
      </c>
      <c r="H110" s="10">
        <v>987000.0</v>
      </c>
      <c r="I110" s="10">
        <v>1135050.0</v>
      </c>
      <c r="J110" s="10">
        <f t="shared" si="2"/>
        <v>-148050</v>
      </c>
      <c r="K110" s="11">
        <f t="shared" si="3"/>
        <v>-0.15</v>
      </c>
      <c r="L110" s="3" t="str">
        <f t="shared" si="4"/>
        <v>Fare Increase</v>
      </c>
      <c r="M110" s="10">
        <f t="shared" si="5"/>
        <v>148050</v>
      </c>
      <c r="N110" s="3" t="str">
        <f t="shared" si="6"/>
        <v>Issued</v>
      </c>
      <c r="O110" s="3" t="str">
        <f t="shared" si="7"/>
        <v>LOSS</v>
      </c>
      <c r="P110" s="3">
        <f t="shared" si="8"/>
        <v>1</v>
      </c>
      <c r="Q110" s="3">
        <f t="shared" si="9"/>
        <v>0</v>
      </c>
      <c r="R110" s="12">
        <f t="shared" si="10"/>
        <v>0</v>
      </c>
    </row>
    <row r="111">
      <c r="A111" s="3" t="s">
        <v>144</v>
      </c>
      <c r="B111" s="4">
        <v>46339.0</v>
      </c>
      <c r="C111" s="4" t="str">
        <f t="shared" si="1"/>
        <v>November</v>
      </c>
      <c r="D111" s="3" t="s">
        <v>14</v>
      </c>
      <c r="E111" s="3" t="s">
        <v>15</v>
      </c>
      <c r="F111" s="3" t="s">
        <v>16</v>
      </c>
      <c r="G111" s="3" t="str">
        <f>VLOOKUP(F111, 'KODE PESAWAT'!$A$2:$C$42, 3, FALSE)</f>
        <v>Thai Airways Group (Associate)</v>
      </c>
      <c r="H111" s="10">
        <v>1021000.0</v>
      </c>
      <c r="I111" s="10">
        <v>1174150.0</v>
      </c>
      <c r="J111" s="10">
        <f t="shared" si="2"/>
        <v>-153150</v>
      </c>
      <c r="K111" s="11">
        <f t="shared" si="3"/>
        <v>-0.15</v>
      </c>
      <c r="L111" s="3" t="str">
        <f t="shared" si="4"/>
        <v>Fare Increase</v>
      </c>
      <c r="M111" s="10">
        <f t="shared" si="5"/>
        <v>153150</v>
      </c>
      <c r="N111" s="3" t="str">
        <f t="shared" si="6"/>
        <v>Issued</v>
      </c>
      <c r="O111" s="3" t="str">
        <f t="shared" si="7"/>
        <v>LOSS</v>
      </c>
      <c r="P111" s="3">
        <f t="shared" si="8"/>
        <v>1</v>
      </c>
      <c r="Q111" s="3">
        <f t="shared" si="9"/>
        <v>0</v>
      </c>
      <c r="R111" s="12">
        <f t="shared" si="10"/>
        <v>0</v>
      </c>
    </row>
    <row r="112">
      <c r="A112" s="3" t="s">
        <v>145</v>
      </c>
      <c r="B112" s="4">
        <v>46108.0</v>
      </c>
      <c r="C112" s="4" t="str">
        <f t="shared" si="1"/>
        <v>March</v>
      </c>
      <c r="D112" s="3" t="s">
        <v>14</v>
      </c>
      <c r="E112" s="3" t="s">
        <v>15</v>
      </c>
      <c r="F112" s="3" t="s">
        <v>16</v>
      </c>
      <c r="G112" s="3" t="str">
        <f>VLOOKUP(F112, 'KODE PESAWAT'!$A$2:$C$42, 3, FALSE)</f>
        <v>Thai Airways Group (Associate)</v>
      </c>
      <c r="H112" s="10">
        <v>786000.0</v>
      </c>
      <c r="I112" s="10">
        <v>1965000.0</v>
      </c>
      <c r="J112" s="10">
        <f t="shared" si="2"/>
        <v>-1179000</v>
      </c>
      <c r="K112" s="11">
        <f t="shared" si="3"/>
        <v>-1.5</v>
      </c>
      <c r="L112" s="3" t="str">
        <f t="shared" si="4"/>
        <v>Over Buffer</v>
      </c>
      <c r="M112" s="10">
        <f t="shared" si="5"/>
        <v>-786000</v>
      </c>
      <c r="N112" s="3" t="str">
        <f t="shared" si="6"/>
        <v>Refund</v>
      </c>
      <c r="O112" s="3" t="str">
        <f t="shared" si="7"/>
        <v>N/A</v>
      </c>
      <c r="P112" s="3">
        <f t="shared" si="8"/>
        <v>0</v>
      </c>
      <c r="Q112" s="3">
        <f t="shared" si="9"/>
        <v>0</v>
      </c>
      <c r="R112" s="12">
        <f t="shared" si="10"/>
        <v>1</v>
      </c>
    </row>
    <row r="113">
      <c r="A113" s="3" t="s">
        <v>146</v>
      </c>
      <c r="B113" s="4">
        <v>46197.0</v>
      </c>
      <c r="C113" s="4" t="str">
        <f t="shared" si="1"/>
        <v>June</v>
      </c>
      <c r="D113" s="3" t="s">
        <v>25</v>
      </c>
      <c r="E113" s="3" t="s">
        <v>15</v>
      </c>
      <c r="F113" s="3" t="s">
        <v>42</v>
      </c>
      <c r="G113" s="3" t="str">
        <f>VLOOKUP(F113, 'KODE PESAWAT'!$A$2:$C$42, 3, FALSE)</f>
        <v>Vietnam Airlines Group</v>
      </c>
      <c r="H113" s="10">
        <v>1374000.0</v>
      </c>
      <c r="I113" s="10">
        <v>3435000.0</v>
      </c>
      <c r="J113" s="10">
        <f t="shared" si="2"/>
        <v>-2061000</v>
      </c>
      <c r="K113" s="11">
        <f t="shared" si="3"/>
        <v>-1.5</v>
      </c>
      <c r="L113" s="3" t="str">
        <f t="shared" si="4"/>
        <v>Over Buffer</v>
      </c>
      <c r="M113" s="10">
        <f t="shared" si="5"/>
        <v>-1374000</v>
      </c>
      <c r="N113" s="3" t="str">
        <f t="shared" si="6"/>
        <v>Refund</v>
      </c>
      <c r="O113" s="3" t="str">
        <f t="shared" si="7"/>
        <v>N/A</v>
      </c>
      <c r="P113" s="3">
        <f t="shared" si="8"/>
        <v>0</v>
      </c>
      <c r="Q113" s="3">
        <f t="shared" si="9"/>
        <v>0</v>
      </c>
      <c r="R113" s="12">
        <f t="shared" si="10"/>
        <v>1</v>
      </c>
    </row>
    <row r="114">
      <c r="A114" s="3" t="s">
        <v>147</v>
      </c>
      <c r="B114" s="4">
        <v>46104.0</v>
      </c>
      <c r="C114" s="4" t="str">
        <f t="shared" si="1"/>
        <v>March</v>
      </c>
      <c r="D114" s="3" t="s">
        <v>18</v>
      </c>
      <c r="E114" s="3" t="s">
        <v>11</v>
      </c>
      <c r="F114" s="3" t="s">
        <v>63</v>
      </c>
      <c r="G114" s="3" t="str">
        <f>VLOOKUP(F114, 'KODE PESAWAT'!$A$2:$C$42, 3, FALSE)</f>
        <v>Lion Air Group</v>
      </c>
      <c r="H114" s="10">
        <v>1467000.0</v>
      </c>
      <c r="I114" s="10">
        <v>1393650.0</v>
      </c>
      <c r="J114" s="10">
        <f t="shared" si="2"/>
        <v>73350</v>
      </c>
      <c r="K114" s="11">
        <f t="shared" si="3"/>
        <v>0.05</v>
      </c>
      <c r="L114" s="3" t="str">
        <f t="shared" si="4"/>
        <v>Normal</v>
      </c>
      <c r="M114" s="10">
        <f t="shared" si="5"/>
        <v>-73350</v>
      </c>
      <c r="N114" s="3" t="str">
        <f t="shared" si="6"/>
        <v>Issued</v>
      </c>
      <c r="O114" s="3" t="str">
        <f t="shared" si="7"/>
        <v>PROFIT</v>
      </c>
      <c r="P114" s="3">
        <f t="shared" si="8"/>
        <v>1</v>
      </c>
      <c r="Q114" s="3">
        <f t="shared" si="9"/>
        <v>1</v>
      </c>
      <c r="R114" s="12">
        <f t="shared" si="10"/>
        <v>0</v>
      </c>
    </row>
    <row r="115">
      <c r="A115" s="3" t="s">
        <v>148</v>
      </c>
      <c r="B115" s="4">
        <v>46278.0</v>
      </c>
      <c r="C115" s="4" t="str">
        <f t="shared" si="1"/>
        <v>September</v>
      </c>
      <c r="D115" s="3" t="s">
        <v>30</v>
      </c>
      <c r="E115" s="3" t="s">
        <v>15</v>
      </c>
      <c r="F115" s="3" t="s">
        <v>42</v>
      </c>
      <c r="G115" s="3" t="str">
        <f>VLOOKUP(F115, 'KODE PESAWAT'!$A$2:$C$42, 3, FALSE)</f>
        <v>Vietnam Airlines Group</v>
      </c>
      <c r="H115" s="10">
        <v>3950000.0</v>
      </c>
      <c r="I115" s="10">
        <v>9875000.0</v>
      </c>
      <c r="J115" s="10">
        <f t="shared" si="2"/>
        <v>-5925000</v>
      </c>
      <c r="K115" s="11">
        <f t="shared" si="3"/>
        <v>-1.5</v>
      </c>
      <c r="L115" s="3" t="str">
        <f t="shared" si="4"/>
        <v>Over Buffer</v>
      </c>
      <c r="M115" s="10">
        <f t="shared" si="5"/>
        <v>-3950000</v>
      </c>
      <c r="N115" s="3" t="str">
        <f t="shared" si="6"/>
        <v>Refund</v>
      </c>
      <c r="O115" s="3" t="str">
        <f t="shared" si="7"/>
        <v>N/A</v>
      </c>
      <c r="P115" s="3">
        <f t="shared" si="8"/>
        <v>0</v>
      </c>
      <c r="Q115" s="3">
        <f t="shared" si="9"/>
        <v>0</v>
      </c>
      <c r="R115" s="12">
        <f t="shared" si="10"/>
        <v>1</v>
      </c>
    </row>
    <row r="116">
      <c r="A116" s="3" t="s">
        <v>149</v>
      </c>
      <c r="B116" s="4">
        <v>46134.0</v>
      </c>
      <c r="C116" s="4" t="str">
        <f t="shared" si="1"/>
        <v>April</v>
      </c>
      <c r="D116" s="3" t="s">
        <v>30</v>
      </c>
      <c r="E116" s="3" t="s">
        <v>15</v>
      </c>
      <c r="F116" s="3" t="s">
        <v>100</v>
      </c>
      <c r="G116" s="3" t="str">
        <f>VLOOKUP(F116, 'KODE PESAWAT'!$A$2:$C$42, 3, FALSE)</f>
        <v>JG Summit Holdings</v>
      </c>
      <c r="H116" s="10">
        <v>1894000.0</v>
      </c>
      <c r="I116" s="10">
        <v>1799300.0</v>
      </c>
      <c r="J116" s="10">
        <f t="shared" si="2"/>
        <v>94700</v>
      </c>
      <c r="K116" s="11">
        <f t="shared" si="3"/>
        <v>0.05</v>
      </c>
      <c r="L116" s="3" t="str">
        <f t="shared" si="4"/>
        <v>Normal</v>
      </c>
      <c r="M116" s="10">
        <f t="shared" si="5"/>
        <v>-94700</v>
      </c>
      <c r="N116" s="3" t="str">
        <f t="shared" si="6"/>
        <v>Issued</v>
      </c>
      <c r="O116" s="3" t="str">
        <f t="shared" si="7"/>
        <v>PROFIT</v>
      </c>
      <c r="P116" s="3">
        <f t="shared" si="8"/>
        <v>1</v>
      </c>
      <c r="Q116" s="3">
        <f t="shared" si="9"/>
        <v>1</v>
      </c>
      <c r="R116" s="12">
        <f t="shared" si="10"/>
        <v>0</v>
      </c>
    </row>
    <row r="117">
      <c r="A117" s="3" t="s">
        <v>150</v>
      </c>
      <c r="B117" s="4">
        <v>46291.0</v>
      </c>
      <c r="C117" s="4" t="str">
        <f t="shared" si="1"/>
        <v>September</v>
      </c>
      <c r="D117" s="3" t="s">
        <v>25</v>
      </c>
      <c r="E117" s="3" t="s">
        <v>15</v>
      </c>
      <c r="F117" s="3" t="s">
        <v>42</v>
      </c>
      <c r="G117" s="3" t="str">
        <f>VLOOKUP(F117, 'KODE PESAWAT'!$A$2:$C$42, 3, FALSE)</f>
        <v>Vietnam Airlines Group</v>
      </c>
      <c r="H117" s="10">
        <v>1673000.0</v>
      </c>
      <c r="I117" s="10">
        <v>1589350.0</v>
      </c>
      <c r="J117" s="10">
        <f t="shared" si="2"/>
        <v>83650</v>
      </c>
      <c r="K117" s="11">
        <f t="shared" si="3"/>
        <v>0.05</v>
      </c>
      <c r="L117" s="3" t="str">
        <f t="shared" si="4"/>
        <v>Normal</v>
      </c>
      <c r="M117" s="10">
        <f t="shared" si="5"/>
        <v>-83650</v>
      </c>
      <c r="N117" s="3" t="str">
        <f t="shared" si="6"/>
        <v>Issued</v>
      </c>
      <c r="O117" s="3" t="str">
        <f t="shared" si="7"/>
        <v>PROFIT</v>
      </c>
      <c r="P117" s="3">
        <f t="shared" si="8"/>
        <v>1</v>
      </c>
      <c r="Q117" s="3">
        <f t="shared" si="9"/>
        <v>1</v>
      </c>
      <c r="R117" s="12">
        <f t="shared" si="10"/>
        <v>0</v>
      </c>
    </row>
    <row r="118">
      <c r="A118" s="3" t="s">
        <v>151</v>
      </c>
      <c r="B118" s="4">
        <v>46029.0</v>
      </c>
      <c r="C118" s="4" t="str">
        <f t="shared" si="1"/>
        <v>January</v>
      </c>
      <c r="D118" s="3" t="s">
        <v>25</v>
      </c>
      <c r="E118" s="3" t="s">
        <v>15</v>
      </c>
      <c r="F118" s="3" t="s">
        <v>61</v>
      </c>
      <c r="G118" s="3" t="str">
        <f>VLOOKUP(F118, 'KODE PESAWAT'!$A$2:$C$42, 3, FALSE)</f>
        <v>Vietravel Group</v>
      </c>
      <c r="H118" s="10">
        <v>1.2729E7</v>
      </c>
      <c r="I118" s="10">
        <v>1.78206E7</v>
      </c>
      <c r="J118" s="10">
        <f t="shared" si="2"/>
        <v>-5091600</v>
      </c>
      <c r="K118" s="11">
        <f t="shared" si="3"/>
        <v>-0.4</v>
      </c>
      <c r="L118" s="3" t="str">
        <f t="shared" si="4"/>
        <v>Fare Increase</v>
      </c>
      <c r="M118" s="10">
        <f t="shared" si="5"/>
        <v>5091600</v>
      </c>
      <c r="N118" s="3" t="str">
        <f t="shared" si="6"/>
        <v>Issued</v>
      </c>
      <c r="O118" s="3" t="str">
        <f t="shared" si="7"/>
        <v>LOSS</v>
      </c>
      <c r="P118" s="3">
        <f t="shared" si="8"/>
        <v>1</v>
      </c>
      <c r="Q118" s="3">
        <f t="shared" si="9"/>
        <v>0</v>
      </c>
      <c r="R118" s="12">
        <f t="shared" si="10"/>
        <v>0</v>
      </c>
    </row>
    <row r="119">
      <c r="A119" s="3" t="s">
        <v>152</v>
      </c>
      <c r="B119" s="4">
        <v>46168.0</v>
      </c>
      <c r="C119" s="4" t="str">
        <f t="shared" si="1"/>
        <v>May</v>
      </c>
      <c r="D119" s="3" t="s">
        <v>14</v>
      </c>
      <c r="E119" s="3" t="s">
        <v>15</v>
      </c>
      <c r="F119" s="3" t="s">
        <v>16</v>
      </c>
      <c r="G119" s="3" t="str">
        <f>VLOOKUP(F119, 'KODE PESAWAT'!$A$2:$C$42, 3, FALSE)</f>
        <v>Thai Airways Group (Associate)</v>
      </c>
      <c r="H119" s="10">
        <v>976000.0</v>
      </c>
      <c r="I119" s="10">
        <v>927200.0</v>
      </c>
      <c r="J119" s="10">
        <f t="shared" si="2"/>
        <v>48800</v>
      </c>
      <c r="K119" s="11">
        <f t="shared" si="3"/>
        <v>0.05</v>
      </c>
      <c r="L119" s="3" t="str">
        <f t="shared" si="4"/>
        <v>Normal</v>
      </c>
      <c r="M119" s="10">
        <f t="shared" si="5"/>
        <v>-48800</v>
      </c>
      <c r="N119" s="3" t="str">
        <f t="shared" si="6"/>
        <v>Issued</v>
      </c>
      <c r="O119" s="3" t="str">
        <f t="shared" si="7"/>
        <v>PROFIT</v>
      </c>
      <c r="P119" s="3">
        <f t="shared" si="8"/>
        <v>1</v>
      </c>
      <c r="Q119" s="3">
        <f t="shared" si="9"/>
        <v>1</v>
      </c>
      <c r="R119" s="12">
        <f t="shared" si="10"/>
        <v>0</v>
      </c>
    </row>
    <row r="120">
      <c r="A120" s="3" t="s">
        <v>153</v>
      </c>
      <c r="B120" s="4">
        <v>46267.0</v>
      </c>
      <c r="C120" s="4" t="str">
        <f t="shared" si="1"/>
        <v>September</v>
      </c>
      <c r="D120" s="3" t="s">
        <v>10</v>
      </c>
      <c r="E120" s="3" t="s">
        <v>11</v>
      </c>
      <c r="F120" s="3" t="s">
        <v>35</v>
      </c>
      <c r="G120" s="3" t="str">
        <f>VLOOKUP(F120, 'KODE PESAWAT'!$A$2:$C$42, 3, FALSE)</f>
        <v>Lion Air Group</v>
      </c>
      <c r="H120" s="10">
        <v>1749000.0</v>
      </c>
      <c r="I120" s="10">
        <v>2011349.9999999998</v>
      </c>
      <c r="J120" s="10">
        <f t="shared" si="2"/>
        <v>-262350</v>
      </c>
      <c r="K120" s="11">
        <f t="shared" si="3"/>
        <v>-0.15</v>
      </c>
      <c r="L120" s="3" t="str">
        <f t="shared" si="4"/>
        <v>Fare Increase</v>
      </c>
      <c r="M120" s="10">
        <f t="shared" si="5"/>
        <v>262350</v>
      </c>
      <c r="N120" s="3" t="str">
        <f t="shared" si="6"/>
        <v>Issued</v>
      </c>
      <c r="O120" s="3" t="str">
        <f t="shared" si="7"/>
        <v>LOSS</v>
      </c>
      <c r="P120" s="3">
        <f t="shared" si="8"/>
        <v>1</v>
      </c>
      <c r="Q120" s="3">
        <f t="shared" si="9"/>
        <v>0</v>
      </c>
      <c r="R120" s="12">
        <f t="shared" si="10"/>
        <v>0</v>
      </c>
    </row>
    <row r="121">
      <c r="A121" s="3" t="s">
        <v>154</v>
      </c>
      <c r="B121" s="4">
        <v>46128.0</v>
      </c>
      <c r="C121" s="4" t="str">
        <f t="shared" si="1"/>
        <v>April</v>
      </c>
      <c r="D121" s="3" t="s">
        <v>14</v>
      </c>
      <c r="E121" s="3" t="s">
        <v>15</v>
      </c>
      <c r="F121" s="3" t="s">
        <v>37</v>
      </c>
      <c r="G121" s="3" t="str">
        <f>VLOOKUP(F121, 'KODE PESAWAT'!$A$2:$C$42, 3, FALSE)</f>
        <v>Lion Air Group</v>
      </c>
      <c r="H121" s="10">
        <v>3368000.0</v>
      </c>
      <c r="I121" s="10">
        <v>3199600.0</v>
      </c>
      <c r="J121" s="10">
        <f t="shared" si="2"/>
        <v>168400</v>
      </c>
      <c r="K121" s="11">
        <f t="shared" si="3"/>
        <v>0.05</v>
      </c>
      <c r="L121" s="3" t="str">
        <f t="shared" si="4"/>
        <v>Normal</v>
      </c>
      <c r="M121" s="10">
        <f t="shared" si="5"/>
        <v>-168400</v>
      </c>
      <c r="N121" s="3" t="str">
        <f t="shared" si="6"/>
        <v>Issued</v>
      </c>
      <c r="O121" s="3" t="str">
        <f t="shared" si="7"/>
        <v>PROFIT</v>
      </c>
      <c r="P121" s="3">
        <f t="shared" si="8"/>
        <v>1</v>
      </c>
      <c r="Q121" s="3">
        <f t="shared" si="9"/>
        <v>1</v>
      </c>
      <c r="R121" s="12">
        <f t="shared" si="10"/>
        <v>0</v>
      </c>
    </row>
    <row r="122">
      <c r="A122" s="3" t="s">
        <v>155</v>
      </c>
      <c r="B122" s="4">
        <v>46099.0</v>
      </c>
      <c r="C122" s="4" t="str">
        <f t="shared" si="1"/>
        <v>March</v>
      </c>
      <c r="D122" s="3" t="s">
        <v>14</v>
      </c>
      <c r="E122" s="3" t="s">
        <v>15</v>
      </c>
      <c r="F122" s="3" t="s">
        <v>63</v>
      </c>
      <c r="G122" s="3" t="str">
        <f>VLOOKUP(F122, 'KODE PESAWAT'!$A$2:$C$42, 3, FALSE)</f>
        <v>Lion Air Group</v>
      </c>
      <c r="H122" s="10">
        <v>878000.0</v>
      </c>
      <c r="I122" s="10">
        <v>1009699.9999999999</v>
      </c>
      <c r="J122" s="10">
        <f t="shared" si="2"/>
        <v>-131700</v>
      </c>
      <c r="K122" s="11">
        <f t="shared" si="3"/>
        <v>-0.15</v>
      </c>
      <c r="L122" s="3" t="str">
        <f t="shared" si="4"/>
        <v>Fare Increase</v>
      </c>
      <c r="M122" s="10">
        <f t="shared" si="5"/>
        <v>131700</v>
      </c>
      <c r="N122" s="3" t="str">
        <f t="shared" si="6"/>
        <v>Issued</v>
      </c>
      <c r="O122" s="3" t="str">
        <f t="shared" si="7"/>
        <v>LOSS</v>
      </c>
      <c r="P122" s="3">
        <f t="shared" si="8"/>
        <v>1</v>
      </c>
      <c r="Q122" s="3">
        <f t="shared" si="9"/>
        <v>0</v>
      </c>
      <c r="R122" s="12">
        <f t="shared" si="10"/>
        <v>0</v>
      </c>
    </row>
    <row r="123">
      <c r="A123" s="3" t="s">
        <v>156</v>
      </c>
      <c r="B123" s="4">
        <v>46340.0</v>
      </c>
      <c r="C123" s="4" t="str">
        <f t="shared" si="1"/>
        <v>November</v>
      </c>
      <c r="D123" s="3" t="s">
        <v>10</v>
      </c>
      <c r="E123" s="3" t="s">
        <v>11</v>
      </c>
      <c r="F123" s="3" t="s">
        <v>19</v>
      </c>
      <c r="G123" s="3" t="str">
        <f>VLOOKUP(F123, 'KODE PESAWAT'!$A$2:$C$42, 3, FALSE)</f>
        <v>Lion Air Group</v>
      </c>
      <c r="H123" s="10">
        <v>685000.0</v>
      </c>
      <c r="I123" s="10">
        <v>787749.9999999999</v>
      </c>
      <c r="J123" s="10">
        <f t="shared" si="2"/>
        <v>-102750</v>
      </c>
      <c r="K123" s="11">
        <f t="shared" si="3"/>
        <v>-0.15</v>
      </c>
      <c r="L123" s="3" t="str">
        <f t="shared" si="4"/>
        <v>Fare Increase</v>
      </c>
      <c r="M123" s="10">
        <f t="shared" si="5"/>
        <v>102750</v>
      </c>
      <c r="N123" s="3" t="str">
        <f t="shared" si="6"/>
        <v>Issued</v>
      </c>
      <c r="O123" s="3" t="str">
        <f t="shared" si="7"/>
        <v>LOSS</v>
      </c>
      <c r="P123" s="3">
        <f t="shared" si="8"/>
        <v>1</v>
      </c>
      <c r="Q123" s="3">
        <f t="shared" si="9"/>
        <v>0</v>
      </c>
      <c r="R123" s="12">
        <f t="shared" si="10"/>
        <v>0</v>
      </c>
    </row>
    <row r="124">
      <c r="A124" s="3" t="s">
        <v>157</v>
      </c>
      <c r="B124" s="4">
        <v>46244.0</v>
      </c>
      <c r="C124" s="4" t="str">
        <f t="shared" si="1"/>
        <v>August</v>
      </c>
      <c r="D124" s="3" t="s">
        <v>23</v>
      </c>
      <c r="E124" s="3" t="s">
        <v>15</v>
      </c>
      <c r="F124" s="3" t="s">
        <v>19</v>
      </c>
      <c r="G124" s="3" t="str">
        <f>VLOOKUP(F124, 'KODE PESAWAT'!$A$2:$C$42, 3, FALSE)</f>
        <v>Lion Air Group</v>
      </c>
      <c r="H124" s="10">
        <v>6565000.0</v>
      </c>
      <c r="I124" s="10">
        <v>9191000.0</v>
      </c>
      <c r="J124" s="10">
        <f t="shared" si="2"/>
        <v>-2626000</v>
      </c>
      <c r="K124" s="11">
        <f t="shared" si="3"/>
        <v>-0.4</v>
      </c>
      <c r="L124" s="3" t="str">
        <f t="shared" si="4"/>
        <v>Fare Increase</v>
      </c>
      <c r="M124" s="10">
        <f t="shared" si="5"/>
        <v>2626000</v>
      </c>
      <c r="N124" s="3" t="str">
        <f t="shared" si="6"/>
        <v>Issued</v>
      </c>
      <c r="O124" s="3" t="str">
        <f t="shared" si="7"/>
        <v>LOSS</v>
      </c>
      <c r="P124" s="3">
        <f t="shared" si="8"/>
        <v>1</v>
      </c>
      <c r="Q124" s="3">
        <f t="shared" si="9"/>
        <v>0</v>
      </c>
      <c r="R124" s="12">
        <f t="shared" si="10"/>
        <v>0</v>
      </c>
    </row>
    <row r="125">
      <c r="A125" s="3" t="s">
        <v>158</v>
      </c>
      <c r="B125" s="4">
        <v>46098.0</v>
      </c>
      <c r="C125" s="4" t="str">
        <f t="shared" si="1"/>
        <v>March</v>
      </c>
      <c r="D125" s="3" t="s">
        <v>25</v>
      </c>
      <c r="E125" s="3" t="s">
        <v>15</v>
      </c>
      <c r="F125" s="3" t="s">
        <v>61</v>
      </c>
      <c r="G125" s="3" t="str">
        <f>VLOOKUP(F125, 'KODE PESAWAT'!$A$2:$C$42, 3, FALSE)</f>
        <v>Vietravel Group</v>
      </c>
      <c r="H125" s="10">
        <v>3111000.0</v>
      </c>
      <c r="I125" s="10">
        <v>3577649.9999999995</v>
      </c>
      <c r="J125" s="10">
        <f t="shared" si="2"/>
        <v>-466650</v>
      </c>
      <c r="K125" s="11">
        <f t="shared" si="3"/>
        <v>-0.15</v>
      </c>
      <c r="L125" s="3" t="str">
        <f t="shared" si="4"/>
        <v>Fare Increase</v>
      </c>
      <c r="M125" s="10">
        <f t="shared" si="5"/>
        <v>466650</v>
      </c>
      <c r="N125" s="3" t="str">
        <f t="shared" si="6"/>
        <v>Issued</v>
      </c>
      <c r="O125" s="3" t="str">
        <f t="shared" si="7"/>
        <v>LOSS</v>
      </c>
      <c r="P125" s="3">
        <f t="shared" si="8"/>
        <v>1</v>
      </c>
      <c r="Q125" s="3">
        <f t="shared" si="9"/>
        <v>0</v>
      </c>
      <c r="R125" s="12">
        <f t="shared" si="10"/>
        <v>0</v>
      </c>
    </row>
    <row r="126">
      <c r="A126" s="3" t="s">
        <v>159</v>
      </c>
      <c r="B126" s="4">
        <v>46159.0</v>
      </c>
      <c r="C126" s="4" t="str">
        <f t="shared" si="1"/>
        <v>May</v>
      </c>
      <c r="D126" s="3" t="s">
        <v>14</v>
      </c>
      <c r="E126" s="3" t="s">
        <v>15</v>
      </c>
      <c r="F126" s="3" t="s">
        <v>16</v>
      </c>
      <c r="G126" s="3" t="str">
        <f>VLOOKUP(F126, 'KODE PESAWAT'!$A$2:$C$42, 3, FALSE)</f>
        <v>Thai Airways Group (Associate)</v>
      </c>
      <c r="H126" s="10">
        <v>1388000.0</v>
      </c>
      <c r="I126" s="10">
        <v>3470000.0</v>
      </c>
      <c r="J126" s="10">
        <f t="shared" si="2"/>
        <v>-2082000</v>
      </c>
      <c r="K126" s="11">
        <f t="shared" si="3"/>
        <v>-1.5</v>
      </c>
      <c r="L126" s="3" t="str">
        <f t="shared" si="4"/>
        <v>Over Buffer</v>
      </c>
      <c r="M126" s="10">
        <f t="shared" si="5"/>
        <v>-1388000</v>
      </c>
      <c r="N126" s="3" t="str">
        <f t="shared" si="6"/>
        <v>Refund</v>
      </c>
      <c r="O126" s="3" t="str">
        <f t="shared" si="7"/>
        <v>N/A</v>
      </c>
      <c r="P126" s="3">
        <f t="shared" si="8"/>
        <v>0</v>
      </c>
      <c r="Q126" s="3">
        <f t="shared" si="9"/>
        <v>0</v>
      </c>
      <c r="R126" s="12">
        <f t="shared" si="10"/>
        <v>1</v>
      </c>
    </row>
    <row r="127">
      <c r="A127" s="3" t="s">
        <v>160</v>
      </c>
      <c r="B127" s="4">
        <v>46338.0</v>
      </c>
      <c r="C127" s="4" t="str">
        <f t="shared" si="1"/>
        <v>November</v>
      </c>
      <c r="D127" s="3" t="s">
        <v>30</v>
      </c>
      <c r="E127" s="3" t="s">
        <v>15</v>
      </c>
      <c r="F127" s="3" t="s">
        <v>161</v>
      </c>
      <c r="G127" s="3" t="str">
        <f>VLOOKUP(F127, 'KODE PESAWAT'!$A$2:$C$42, 3, FALSE)</f>
        <v>Lion Air Group</v>
      </c>
      <c r="H127" s="10">
        <v>1059000.0</v>
      </c>
      <c r="I127" s="10">
        <v>1217850.0</v>
      </c>
      <c r="J127" s="10">
        <f t="shared" si="2"/>
        <v>-158850</v>
      </c>
      <c r="K127" s="11">
        <f t="shared" si="3"/>
        <v>-0.15</v>
      </c>
      <c r="L127" s="3" t="str">
        <f t="shared" si="4"/>
        <v>Fare Increase</v>
      </c>
      <c r="M127" s="10">
        <f t="shared" si="5"/>
        <v>158850</v>
      </c>
      <c r="N127" s="3" t="str">
        <f t="shared" si="6"/>
        <v>Issued</v>
      </c>
      <c r="O127" s="3" t="str">
        <f t="shared" si="7"/>
        <v>LOSS</v>
      </c>
      <c r="P127" s="3">
        <f t="shared" si="8"/>
        <v>1</v>
      </c>
      <c r="Q127" s="3">
        <f t="shared" si="9"/>
        <v>0</v>
      </c>
      <c r="R127" s="12">
        <f t="shared" si="10"/>
        <v>0</v>
      </c>
    </row>
    <row r="128">
      <c r="A128" s="3" t="s">
        <v>162</v>
      </c>
      <c r="B128" s="4">
        <v>46358.0</v>
      </c>
      <c r="C128" s="4" t="str">
        <f t="shared" si="1"/>
        <v>December</v>
      </c>
      <c r="D128" s="3" t="s">
        <v>14</v>
      </c>
      <c r="E128" s="3" t="s">
        <v>15</v>
      </c>
      <c r="F128" s="3" t="s">
        <v>37</v>
      </c>
      <c r="G128" s="3" t="str">
        <f>VLOOKUP(F128, 'KODE PESAWAT'!$A$2:$C$42, 3, FALSE)</f>
        <v>Lion Air Group</v>
      </c>
      <c r="H128" s="10">
        <v>1308000.0</v>
      </c>
      <c r="I128" s="10">
        <v>1831200.0</v>
      </c>
      <c r="J128" s="10">
        <f t="shared" si="2"/>
        <v>-523200</v>
      </c>
      <c r="K128" s="11">
        <f t="shared" si="3"/>
        <v>-0.4</v>
      </c>
      <c r="L128" s="3" t="str">
        <f t="shared" si="4"/>
        <v>Fare Increase</v>
      </c>
      <c r="M128" s="10">
        <f t="shared" si="5"/>
        <v>523200</v>
      </c>
      <c r="N128" s="3" t="str">
        <f t="shared" si="6"/>
        <v>Issued</v>
      </c>
      <c r="O128" s="3" t="str">
        <f t="shared" si="7"/>
        <v>LOSS</v>
      </c>
      <c r="P128" s="3">
        <f t="shared" si="8"/>
        <v>1</v>
      </c>
      <c r="Q128" s="3">
        <f t="shared" si="9"/>
        <v>0</v>
      </c>
      <c r="R128" s="12">
        <f t="shared" si="10"/>
        <v>0</v>
      </c>
    </row>
    <row r="129">
      <c r="A129" s="3" t="s">
        <v>163</v>
      </c>
      <c r="B129" s="4">
        <v>46273.0</v>
      </c>
      <c r="C129" s="4" t="str">
        <f t="shared" si="1"/>
        <v>September</v>
      </c>
      <c r="D129" s="3" t="s">
        <v>30</v>
      </c>
      <c r="E129" s="3" t="s">
        <v>15</v>
      </c>
      <c r="F129" s="3" t="s">
        <v>100</v>
      </c>
      <c r="G129" s="3" t="str">
        <f>VLOOKUP(F129, 'KODE PESAWAT'!$A$2:$C$42, 3, FALSE)</f>
        <v>JG Summit Holdings</v>
      </c>
      <c r="H129" s="10">
        <v>1.3865E7</v>
      </c>
      <c r="I129" s="10">
        <v>1.9411E7</v>
      </c>
      <c r="J129" s="10">
        <f t="shared" si="2"/>
        <v>-5546000</v>
      </c>
      <c r="K129" s="11">
        <f t="shared" si="3"/>
        <v>-0.4</v>
      </c>
      <c r="L129" s="3" t="str">
        <f t="shared" si="4"/>
        <v>Fare Increase</v>
      </c>
      <c r="M129" s="10">
        <f t="shared" si="5"/>
        <v>5546000</v>
      </c>
      <c r="N129" s="3" t="str">
        <f t="shared" si="6"/>
        <v>Issued</v>
      </c>
      <c r="O129" s="3" t="str">
        <f t="shared" si="7"/>
        <v>LOSS</v>
      </c>
      <c r="P129" s="3">
        <f t="shared" si="8"/>
        <v>1</v>
      </c>
      <c r="Q129" s="3">
        <f t="shared" si="9"/>
        <v>0</v>
      </c>
      <c r="R129" s="12">
        <f t="shared" si="10"/>
        <v>0</v>
      </c>
    </row>
    <row r="130">
      <c r="A130" s="3" t="s">
        <v>164</v>
      </c>
      <c r="B130" s="4">
        <v>46241.0</v>
      </c>
      <c r="C130" s="4" t="str">
        <f t="shared" si="1"/>
        <v>August</v>
      </c>
      <c r="D130" s="3" t="s">
        <v>18</v>
      </c>
      <c r="E130" s="3" t="s">
        <v>11</v>
      </c>
      <c r="F130" s="3" t="s">
        <v>35</v>
      </c>
      <c r="G130" s="3" t="str">
        <f>VLOOKUP(F130, 'KODE PESAWAT'!$A$2:$C$42, 3, FALSE)</f>
        <v>Lion Air Group</v>
      </c>
      <c r="H130" s="10">
        <v>483000.0</v>
      </c>
      <c r="I130" s="10">
        <v>555450.0</v>
      </c>
      <c r="J130" s="10">
        <f t="shared" si="2"/>
        <v>-72450</v>
      </c>
      <c r="K130" s="11">
        <f t="shared" si="3"/>
        <v>-0.15</v>
      </c>
      <c r="L130" s="3" t="str">
        <f t="shared" si="4"/>
        <v>Fare Increase</v>
      </c>
      <c r="M130" s="10">
        <f t="shared" si="5"/>
        <v>72450</v>
      </c>
      <c r="N130" s="3" t="str">
        <f t="shared" si="6"/>
        <v>Issued</v>
      </c>
      <c r="O130" s="3" t="str">
        <f t="shared" si="7"/>
        <v>LOSS</v>
      </c>
      <c r="P130" s="3">
        <f t="shared" si="8"/>
        <v>1</v>
      </c>
      <c r="Q130" s="3">
        <f t="shared" si="9"/>
        <v>0</v>
      </c>
      <c r="R130" s="12">
        <f t="shared" si="10"/>
        <v>0</v>
      </c>
    </row>
    <row r="131">
      <c r="A131" s="3" t="s">
        <v>165</v>
      </c>
      <c r="B131" s="4">
        <v>46038.0</v>
      </c>
      <c r="C131" s="4" t="str">
        <f t="shared" si="1"/>
        <v>January</v>
      </c>
      <c r="D131" s="3" t="s">
        <v>10</v>
      </c>
      <c r="E131" s="3" t="s">
        <v>11</v>
      </c>
      <c r="F131" s="3" t="s">
        <v>19</v>
      </c>
      <c r="G131" s="3" t="str">
        <f>VLOOKUP(F131, 'KODE PESAWAT'!$A$2:$C$42, 3, FALSE)</f>
        <v>Lion Air Group</v>
      </c>
      <c r="H131" s="10">
        <v>466000.0</v>
      </c>
      <c r="I131" s="10">
        <v>442700.0</v>
      </c>
      <c r="J131" s="10">
        <f t="shared" si="2"/>
        <v>23300</v>
      </c>
      <c r="K131" s="11">
        <f t="shared" si="3"/>
        <v>0.05</v>
      </c>
      <c r="L131" s="3" t="str">
        <f t="shared" si="4"/>
        <v>Normal</v>
      </c>
      <c r="M131" s="10">
        <f t="shared" si="5"/>
        <v>-23300</v>
      </c>
      <c r="N131" s="3" t="str">
        <f t="shared" si="6"/>
        <v>Issued</v>
      </c>
      <c r="O131" s="3" t="str">
        <f t="shared" si="7"/>
        <v>PROFIT</v>
      </c>
      <c r="P131" s="3">
        <f t="shared" si="8"/>
        <v>1</v>
      </c>
      <c r="Q131" s="3">
        <f t="shared" si="9"/>
        <v>1</v>
      </c>
      <c r="R131" s="12">
        <f t="shared" si="10"/>
        <v>0</v>
      </c>
    </row>
    <row r="132">
      <c r="A132" s="3" t="s">
        <v>166</v>
      </c>
      <c r="B132" s="4">
        <v>46113.0</v>
      </c>
      <c r="C132" s="4" t="str">
        <f t="shared" si="1"/>
        <v>April</v>
      </c>
      <c r="D132" s="3" t="s">
        <v>23</v>
      </c>
      <c r="E132" s="3" t="s">
        <v>15</v>
      </c>
      <c r="F132" s="3" t="s">
        <v>31</v>
      </c>
      <c r="G132" s="3" t="str">
        <f>VLOOKUP(F132, 'KODE PESAWAT'!$A$2:$C$42, 3, FALSE)</f>
        <v>Garuda Indonesia Group</v>
      </c>
      <c r="H132" s="10">
        <v>1485000.0</v>
      </c>
      <c r="I132" s="10">
        <v>1707749.9999999998</v>
      </c>
      <c r="J132" s="10">
        <f t="shared" si="2"/>
        <v>-222750</v>
      </c>
      <c r="K132" s="11">
        <f t="shared" si="3"/>
        <v>-0.15</v>
      </c>
      <c r="L132" s="3" t="str">
        <f t="shared" si="4"/>
        <v>Fare Increase</v>
      </c>
      <c r="M132" s="10">
        <f t="shared" si="5"/>
        <v>222750</v>
      </c>
      <c r="N132" s="3" t="str">
        <f t="shared" si="6"/>
        <v>Issued</v>
      </c>
      <c r="O132" s="3" t="str">
        <f t="shared" si="7"/>
        <v>LOSS</v>
      </c>
      <c r="P132" s="3">
        <f t="shared" si="8"/>
        <v>1</v>
      </c>
      <c r="Q132" s="3">
        <f t="shared" si="9"/>
        <v>0</v>
      </c>
      <c r="R132" s="12">
        <f t="shared" si="10"/>
        <v>0</v>
      </c>
    </row>
    <row r="133">
      <c r="A133" s="3" t="s">
        <v>167</v>
      </c>
      <c r="B133" s="4">
        <v>46379.0</v>
      </c>
      <c r="C133" s="4" t="str">
        <f t="shared" si="1"/>
        <v>December</v>
      </c>
      <c r="D133" s="3" t="s">
        <v>23</v>
      </c>
      <c r="E133" s="3" t="s">
        <v>15</v>
      </c>
      <c r="F133" s="3" t="s">
        <v>19</v>
      </c>
      <c r="G133" s="3" t="str">
        <f>VLOOKUP(F133, 'KODE PESAWAT'!$A$2:$C$42, 3, FALSE)</f>
        <v>Lion Air Group</v>
      </c>
      <c r="H133" s="10">
        <v>1776000.0</v>
      </c>
      <c r="I133" s="10">
        <v>4440000.0</v>
      </c>
      <c r="J133" s="10">
        <f t="shared" si="2"/>
        <v>-2664000</v>
      </c>
      <c r="K133" s="11">
        <f t="shared" si="3"/>
        <v>-1.5</v>
      </c>
      <c r="L133" s="3" t="str">
        <f t="shared" si="4"/>
        <v>Over Buffer</v>
      </c>
      <c r="M133" s="10">
        <f t="shared" si="5"/>
        <v>-1776000</v>
      </c>
      <c r="N133" s="3" t="str">
        <f t="shared" si="6"/>
        <v>Refund</v>
      </c>
      <c r="O133" s="3" t="str">
        <f t="shared" si="7"/>
        <v>N/A</v>
      </c>
      <c r="P133" s="3">
        <f t="shared" si="8"/>
        <v>0</v>
      </c>
      <c r="Q133" s="3">
        <f t="shared" si="9"/>
        <v>0</v>
      </c>
      <c r="R133" s="12">
        <f t="shared" si="10"/>
        <v>1</v>
      </c>
    </row>
    <row r="134">
      <c r="A134" s="3" t="s">
        <v>168</v>
      </c>
      <c r="B134" s="4">
        <v>46246.0</v>
      </c>
      <c r="C134" s="4" t="str">
        <f t="shared" si="1"/>
        <v>August</v>
      </c>
      <c r="D134" s="3" t="s">
        <v>14</v>
      </c>
      <c r="E134" s="3" t="s">
        <v>15</v>
      </c>
      <c r="F134" s="3" t="s">
        <v>63</v>
      </c>
      <c r="G134" s="3" t="str">
        <f>VLOOKUP(F134, 'KODE PESAWAT'!$A$2:$C$42, 3, FALSE)</f>
        <v>Lion Air Group</v>
      </c>
      <c r="H134" s="10">
        <v>737000.0</v>
      </c>
      <c r="I134" s="10">
        <v>700150.0</v>
      </c>
      <c r="J134" s="10">
        <f t="shared" si="2"/>
        <v>36850</v>
      </c>
      <c r="K134" s="11">
        <f t="shared" si="3"/>
        <v>0.05</v>
      </c>
      <c r="L134" s="3" t="str">
        <f t="shared" si="4"/>
        <v>Normal</v>
      </c>
      <c r="M134" s="10">
        <f t="shared" si="5"/>
        <v>-36850</v>
      </c>
      <c r="N134" s="3" t="str">
        <f t="shared" si="6"/>
        <v>Issued</v>
      </c>
      <c r="O134" s="3" t="str">
        <f t="shared" si="7"/>
        <v>PROFIT</v>
      </c>
      <c r="P134" s="3">
        <f t="shared" si="8"/>
        <v>1</v>
      </c>
      <c r="Q134" s="3">
        <f t="shared" si="9"/>
        <v>1</v>
      </c>
      <c r="R134" s="12">
        <f t="shared" si="10"/>
        <v>0</v>
      </c>
    </row>
    <row r="135">
      <c r="A135" s="3" t="s">
        <v>169</v>
      </c>
      <c r="B135" s="4">
        <v>46162.0</v>
      </c>
      <c r="C135" s="4" t="str">
        <f t="shared" si="1"/>
        <v>May</v>
      </c>
      <c r="D135" s="3" t="s">
        <v>25</v>
      </c>
      <c r="E135" s="3" t="s">
        <v>15</v>
      </c>
      <c r="F135" s="3" t="s">
        <v>116</v>
      </c>
      <c r="G135" s="3" t="str">
        <f>VLOOKUP(F135, 'KODE PESAWAT'!$A$2:$C$42, 3, FALSE)</f>
        <v>VietJet Group</v>
      </c>
      <c r="H135" s="10">
        <v>730000.0</v>
      </c>
      <c r="I135" s="10">
        <v>839499.9999999999</v>
      </c>
      <c r="J135" s="10">
        <f t="shared" si="2"/>
        <v>-109500</v>
      </c>
      <c r="K135" s="11">
        <f t="shared" si="3"/>
        <v>-0.15</v>
      </c>
      <c r="L135" s="3" t="str">
        <f t="shared" si="4"/>
        <v>Fare Increase</v>
      </c>
      <c r="M135" s="10">
        <f t="shared" si="5"/>
        <v>109500</v>
      </c>
      <c r="N135" s="3" t="str">
        <f t="shared" si="6"/>
        <v>Issued</v>
      </c>
      <c r="O135" s="3" t="str">
        <f t="shared" si="7"/>
        <v>LOSS</v>
      </c>
      <c r="P135" s="3">
        <f t="shared" si="8"/>
        <v>1</v>
      </c>
      <c r="Q135" s="3">
        <f t="shared" si="9"/>
        <v>0</v>
      </c>
      <c r="R135" s="12">
        <f t="shared" si="10"/>
        <v>0</v>
      </c>
    </row>
    <row r="136">
      <c r="A136" s="3" t="s">
        <v>170</v>
      </c>
      <c r="B136" s="4">
        <v>46329.0</v>
      </c>
      <c r="C136" s="4" t="str">
        <f t="shared" si="1"/>
        <v>November</v>
      </c>
      <c r="D136" s="3" t="s">
        <v>14</v>
      </c>
      <c r="E136" s="3" t="s">
        <v>15</v>
      </c>
      <c r="F136" s="3" t="s">
        <v>63</v>
      </c>
      <c r="G136" s="3" t="str">
        <f>VLOOKUP(F136, 'KODE PESAWAT'!$A$2:$C$42, 3, FALSE)</f>
        <v>Lion Air Group</v>
      </c>
      <c r="H136" s="10">
        <v>7013000.0</v>
      </c>
      <c r="I136" s="10">
        <v>6662350.0</v>
      </c>
      <c r="J136" s="10">
        <f t="shared" si="2"/>
        <v>350650</v>
      </c>
      <c r="K136" s="11">
        <f t="shared" si="3"/>
        <v>0.05</v>
      </c>
      <c r="L136" s="3" t="str">
        <f t="shared" si="4"/>
        <v>Normal</v>
      </c>
      <c r="M136" s="10">
        <f t="shared" si="5"/>
        <v>-350650</v>
      </c>
      <c r="N136" s="3" t="str">
        <f t="shared" si="6"/>
        <v>Issued</v>
      </c>
      <c r="O136" s="3" t="str">
        <f t="shared" si="7"/>
        <v>PROFIT</v>
      </c>
      <c r="P136" s="3">
        <f t="shared" si="8"/>
        <v>1</v>
      </c>
      <c r="Q136" s="3">
        <f t="shared" si="9"/>
        <v>1</v>
      </c>
      <c r="R136" s="12">
        <f t="shared" si="10"/>
        <v>0</v>
      </c>
    </row>
    <row r="137">
      <c r="A137" s="3" t="s">
        <v>171</v>
      </c>
      <c r="B137" s="4">
        <v>46221.0</v>
      </c>
      <c r="C137" s="4" t="str">
        <f t="shared" si="1"/>
        <v>July</v>
      </c>
      <c r="D137" s="3" t="s">
        <v>25</v>
      </c>
      <c r="E137" s="3" t="s">
        <v>15</v>
      </c>
      <c r="F137" s="3" t="s">
        <v>26</v>
      </c>
      <c r="G137" s="3" t="str">
        <f>VLOOKUP(F137, 'KODE PESAWAT'!$A$2:$C$42, 3, FALSE)</f>
        <v>VietJet Group</v>
      </c>
      <c r="H137" s="10">
        <v>1484000.0</v>
      </c>
      <c r="I137" s="10">
        <v>3710000.0</v>
      </c>
      <c r="J137" s="10">
        <f t="shared" si="2"/>
        <v>-2226000</v>
      </c>
      <c r="K137" s="11">
        <f t="shared" si="3"/>
        <v>-1.5</v>
      </c>
      <c r="L137" s="3" t="str">
        <f t="shared" si="4"/>
        <v>Over Buffer</v>
      </c>
      <c r="M137" s="10">
        <f t="shared" si="5"/>
        <v>-1484000</v>
      </c>
      <c r="N137" s="3" t="str">
        <f t="shared" si="6"/>
        <v>Refund</v>
      </c>
      <c r="O137" s="3" t="str">
        <f t="shared" si="7"/>
        <v>N/A</v>
      </c>
      <c r="P137" s="3">
        <f t="shared" si="8"/>
        <v>0</v>
      </c>
      <c r="Q137" s="3">
        <f t="shared" si="9"/>
        <v>0</v>
      </c>
      <c r="R137" s="12">
        <f t="shared" si="10"/>
        <v>1</v>
      </c>
    </row>
    <row r="138">
      <c r="A138" s="3" t="s">
        <v>172</v>
      </c>
      <c r="B138" s="4">
        <v>46329.0</v>
      </c>
      <c r="C138" s="4" t="str">
        <f t="shared" si="1"/>
        <v>November</v>
      </c>
      <c r="D138" s="3" t="s">
        <v>14</v>
      </c>
      <c r="E138" s="3" t="s">
        <v>15</v>
      </c>
      <c r="F138" s="3" t="s">
        <v>16</v>
      </c>
      <c r="G138" s="3" t="str">
        <f>VLOOKUP(F138, 'KODE PESAWAT'!$A$2:$C$42, 3, FALSE)</f>
        <v>Thai Airways Group (Associate)</v>
      </c>
      <c r="H138" s="10">
        <v>9546000.0</v>
      </c>
      <c r="I138" s="10">
        <v>2.3865E7</v>
      </c>
      <c r="J138" s="10">
        <f t="shared" si="2"/>
        <v>-14319000</v>
      </c>
      <c r="K138" s="11">
        <f t="shared" si="3"/>
        <v>-1.5</v>
      </c>
      <c r="L138" s="3" t="str">
        <f t="shared" si="4"/>
        <v>Over Buffer</v>
      </c>
      <c r="M138" s="10">
        <f t="shared" si="5"/>
        <v>-9546000</v>
      </c>
      <c r="N138" s="3" t="str">
        <f t="shared" si="6"/>
        <v>Refund</v>
      </c>
      <c r="O138" s="3" t="str">
        <f t="shared" si="7"/>
        <v>N/A</v>
      </c>
      <c r="P138" s="3">
        <f t="shared" si="8"/>
        <v>0</v>
      </c>
      <c r="Q138" s="3">
        <f t="shared" si="9"/>
        <v>0</v>
      </c>
      <c r="R138" s="12">
        <f t="shared" si="10"/>
        <v>1</v>
      </c>
    </row>
    <row r="139">
      <c r="A139" s="3" t="s">
        <v>173</v>
      </c>
      <c r="B139" s="4">
        <v>46293.0</v>
      </c>
      <c r="C139" s="4" t="str">
        <f t="shared" si="1"/>
        <v>September</v>
      </c>
      <c r="D139" s="3" t="s">
        <v>23</v>
      </c>
      <c r="E139" s="3" t="s">
        <v>15</v>
      </c>
      <c r="F139" s="3" t="s">
        <v>31</v>
      </c>
      <c r="G139" s="3" t="str">
        <f>VLOOKUP(F139, 'KODE PESAWAT'!$A$2:$C$42, 3, FALSE)</f>
        <v>Garuda Indonesia Group</v>
      </c>
      <c r="H139" s="10">
        <v>925000.0</v>
      </c>
      <c r="I139" s="10">
        <v>878750.0</v>
      </c>
      <c r="J139" s="10">
        <f t="shared" si="2"/>
        <v>46250</v>
      </c>
      <c r="K139" s="11">
        <f t="shared" si="3"/>
        <v>0.05</v>
      </c>
      <c r="L139" s="3" t="str">
        <f t="shared" si="4"/>
        <v>Normal</v>
      </c>
      <c r="M139" s="10">
        <f t="shared" si="5"/>
        <v>-46250</v>
      </c>
      <c r="N139" s="3" t="str">
        <f t="shared" si="6"/>
        <v>Issued</v>
      </c>
      <c r="O139" s="3" t="str">
        <f t="shared" si="7"/>
        <v>PROFIT</v>
      </c>
      <c r="P139" s="3">
        <f t="shared" si="8"/>
        <v>1</v>
      </c>
      <c r="Q139" s="3">
        <f t="shared" si="9"/>
        <v>1</v>
      </c>
      <c r="R139" s="12">
        <f t="shared" si="10"/>
        <v>0</v>
      </c>
    </row>
    <row r="140">
      <c r="A140" s="3" t="s">
        <v>174</v>
      </c>
      <c r="B140" s="4">
        <v>46257.0</v>
      </c>
      <c r="C140" s="4" t="str">
        <f t="shared" si="1"/>
        <v>August</v>
      </c>
      <c r="D140" s="3" t="s">
        <v>23</v>
      </c>
      <c r="E140" s="3" t="s">
        <v>15</v>
      </c>
      <c r="F140" s="3" t="s">
        <v>31</v>
      </c>
      <c r="G140" s="3" t="str">
        <f>VLOOKUP(F140, 'KODE PESAWAT'!$A$2:$C$42, 3, FALSE)</f>
        <v>Garuda Indonesia Group</v>
      </c>
      <c r="H140" s="10">
        <v>1392000.0</v>
      </c>
      <c r="I140" s="10">
        <v>1322400.0</v>
      </c>
      <c r="J140" s="10">
        <f t="shared" si="2"/>
        <v>69600</v>
      </c>
      <c r="K140" s="11">
        <f t="shared" si="3"/>
        <v>0.05</v>
      </c>
      <c r="L140" s="3" t="str">
        <f t="shared" si="4"/>
        <v>Normal</v>
      </c>
      <c r="M140" s="10">
        <f t="shared" si="5"/>
        <v>-69600</v>
      </c>
      <c r="N140" s="3" t="str">
        <f t="shared" si="6"/>
        <v>Issued</v>
      </c>
      <c r="O140" s="3" t="str">
        <f t="shared" si="7"/>
        <v>PROFIT</v>
      </c>
      <c r="P140" s="3">
        <f t="shared" si="8"/>
        <v>1</v>
      </c>
      <c r="Q140" s="3">
        <f t="shared" si="9"/>
        <v>1</v>
      </c>
      <c r="R140" s="12">
        <f t="shared" si="10"/>
        <v>0</v>
      </c>
    </row>
    <row r="141">
      <c r="A141" s="3" t="s">
        <v>175</v>
      </c>
      <c r="B141" s="4">
        <v>46260.0</v>
      </c>
      <c r="C141" s="4" t="str">
        <f t="shared" si="1"/>
        <v>August</v>
      </c>
      <c r="D141" s="3" t="s">
        <v>10</v>
      </c>
      <c r="E141" s="3" t="s">
        <v>11</v>
      </c>
      <c r="F141" s="3" t="s">
        <v>35</v>
      </c>
      <c r="G141" s="3" t="str">
        <f>VLOOKUP(F141, 'KODE PESAWAT'!$A$2:$C$42, 3, FALSE)</f>
        <v>Lion Air Group</v>
      </c>
      <c r="H141" s="10">
        <v>1410000.0</v>
      </c>
      <c r="I141" s="10">
        <v>1339500.0</v>
      </c>
      <c r="J141" s="10">
        <f t="shared" si="2"/>
        <v>70500</v>
      </c>
      <c r="K141" s="11">
        <f t="shared" si="3"/>
        <v>0.05</v>
      </c>
      <c r="L141" s="3" t="str">
        <f t="shared" si="4"/>
        <v>Normal</v>
      </c>
      <c r="M141" s="10">
        <f t="shared" si="5"/>
        <v>-70500</v>
      </c>
      <c r="N141" s="3" t="str">
        <f t="shared" si="6"/>
        <v>Issued</v>
      </c>
      <c r="O141" s="3" t="str">
        <f t="shared" si="7"/>
        <v>PROFIT</v>
      </c>
      <c r="P141" s="3">
        <f t="shared" si="8"/>
        <v>1</v>
      </c>
      <c r="Q141" s="3">
        <f t="shared" si="9"/>
        <v>1</v>
      </c>
      <c r="R141" s="12">
        <f t="shared" si="10"/>
        <v>0</v>
      </c>
    </row>
    <row r="142">
      <c r="A142" s="3" t="s">
        <v>176</v>
      </c>
      <c r="B142" s="4">
        <v>46357.0</v>
      </c>
      <c r="C142" s="4" t="str">
        <f t="shared" si="1"/>
        <v>December</v>
      </c>
      <c r="D142" s="3" t="s">
        <v>18</v>
      </c>
      <c r="E142" s="3" t="s">
        <v>11</v>
      </c>
      <c r="F142" s="3" t="s">
        <v>19</v>
      </c>
      <c r="G142" s="3" t="str">
        <f>VLOOKUP(F142, 'KODE PESAWAT'!$A$2:$C$42, 3, FALSE)</f>
        <v>Lion Air Group</v>
      </c>
      <c r="H142" s="10">
        <v>1795000.0</v>
      </c>
      <c r="I142" s="10">
        <v>1705250.0</v>
      </c>
      <c r="J142" s="10">
        <f t="shared" si="2"/>
        <v>89750</v>
      </c>
      <c r="K142" s="11">
        <f t="shared" si="3"/>
        <v>0.05</v>
      </c>
      <c r="L142" s="3" t="str">
        <f t="shared" si="4"/>
        <v>Normal</v>
      </c>
      <c r="M142" s="10">
        <f t="shared" si="5"/>
        <v>-89750</v>
      </c>
      <c r="N142" s="3" t="str">
        <f t="shared" si="6"/>
        <v>Issued</v>
      </c>
      <c r="O142" s="3" t="str">
        <f t="shared" si="7"/>
        <v>PROFIT</v>
      </c>
      <c r="P142" s="3">
        <f t="shared" si="8"/>
        <v>1</v>
      </c>
      <c r="Q142" s="3">
        <f t="shared" si="9"/>
        <v>1</v>
      </c>
      <c r="R142" s="12">
        <f t="shared" si="10"/>
        <v>0</v>
      </c>
    </row>
    <row r="143">
      <c r="A143" s="3" t="s">
        <v>177</v>
      </c>
      <c r="B143" s="4">
        <v>46070.0</v>
      </c>
      <c r="C143" s="4" t="str">
        <f t="shared" si="1"/>
        <v>February</v>
      </c>
      <c r="D143" s="3" t="s">
        <v>30</v>
      </c>
      <c r="E143" s="3" t="s">
        <v>15</v>
      </c>
      <c r="F143" s="3" t="s">
        <v>100</v>
      </c>
      <c r="G143" s="3" t="str">
        <f>VLOOKUP(F143, 'KODE PESAWAT'!$A$2:$C$42, 3, FALSE)</f>
        <v>JG Summit Holdings</v>
      </c>
      <c r="H143" s="10">
        <v>5222000.0</v>
      </c>
      <c r="I143" s="10">
        <v>6005300.0</v>
      </c>
      <c r="J143" s="10">
        <f t="shared" si="2"/>
        <v>-783300</v>
      </c>
      <c r="K143" s="11">
        <f t="shared" si="3"/>
        <v>-0.15</v>
      </c>
      <c r="L143" s="3" t="str">
        <f t="shared" si="4"/>
        <v>Fare Increase</v>
      </c>
      <c r="M143" s="10">
        <f t="shared" si="5"/>
        <v>783300</v>
      </c>
      <c r="N143" s="3" t="str">
        <f t="shared" si="6"/>
        <v>Issued</v>
      </c>
      <c r="O143" s="3" t="str">
        <f t="shared" si="7"/>
        <v>LOSS</v>
      </c>
      <c r="P143" s="3">
        <f t="shared" si="8"/>
        <v>1</v>
      </c>
      <c r="Q143" s="3">
        <f t="shared" si="9"/>
        <v>0</v>
      </c>
      <c r="R143" s="12">
        <f t="shared" si="10"/>
        <v>0</v>
      </c>
    </row>
    <row r="144">
      <c r="A144" s="3" t="s">
        <v>178</v>
      </c>
      <c r="B144" s="4">
        <v>46208.0</v>
      </c>
      <c r="C144" s="4" t="str">
        <f t="shared" si="1"/>
        <v>July</v>
      </c>
      <c r="D144" s="3" t="s">
        <v>18</v>
      </c>
      <c r="E144" s="3" t="s">
        <v>11</v>
      </c>
      <c r="F144" s="3" t="s">
        <v>21</v>
      </c>
      <c r="G144" s="3" t="str">
        <f>VLOOKUP(F144, 'KODE PESAWAT'!$A$2:$C$42, 3, FALSE)</f>
        <v>Singapore Airlines Group</v>
      </c>
      <c r="H144" s="10">
        <v>742000.0</v>
      </c>
      <c r="I144" s="10">
        <v>853299.9999999999</v>
      </c>
      <c r="J144" s="10">
        <f t="shared" si="2"/>
        <v>-111300</v>
      </c>
      <c r="K144" s="11">
        <f t="shared" si="3"/>
        <v>-0.15</v>
      </c>
      <c r="L144" s="3" t="str">
        <f t="shared" si="4"/>
        <v>Fare Increase</v>
      </c>
      <c r="M144" s="10">
        <f t="shared" si="5"/>
        <v>111300</v>
      </c>
      <c r="N144" s="3" t="str">
        <f t="shared" si="6"/>
        <v>Issued</v>
      </c>
      <c r="O144" s="3" t="str">
        <f t="shared" si="7"/>
        <v>LOSS</v>
      </c>
      <c r="P144" s="3">
        <f t="shared" si="8"/>
        <v>1</v>
      </c>
      <c r="Q144" s="3">
        <f t="shared" si="9"/>
        <v>0</v>
      </c>
      <c r="R144" s="12">
        <f t="shared" si="10"/>
        <v>0</v>
      </c>
    </row>
    <row r="145">
      <c r="A145" s="3" t="s">
        <v>179</v>
      </c>
      <c r="B145" s="4">
        <v>46377.0</v>
      </c>
      <c r="C145" s="4" t="str">
        <f t="shared" si="1"/>
        <v>December</v>
      </c>
      <c r="D145" s="3" t="s">
        <v>14</v>
      </c>
      <c r="E145" s="3" t="s">
        <v>15</v>
      </c>
      <c r="F145" s="3" t="s">
        <v>63</v>
      </c>
      <c r="G145" s="3" t="str">
        <f>VLOOKUP(F145, 'KODE PESAWAT'!$A$2:$C$42, 3, FALSE)</f>
        <v>Lion Air Group</v>
      </c>
      <c r="H145" s="10">
        <v>603000.0</v>
      </c>
      <c r="I145" s="10">
        <v>844200.0</v>
      </c>
      <c r="J145" s="10">
        <f t="shared" si="2"/>
        <v>-241200</v>
      </c>
      <c r="K145" s="11">
        <f t="shared" si="3"/>
        <v>-0.4</v>
      </c>
      <c r="L145" s="3" t="str">
        <f t="shared" si="4"/>
        <v>Fare Increase</v>
      </c>
      <c r="M145" s="10">
        <f t="shared" si="5"/>
        <v>241200</v>
      </c>
      <c r="N145" s="3" t="str">
        <f t="shared" si="6"/>
        <v>Issued</v>
      </c>
      <c r="O145" s="3" t="str">
        <f t="shared" si="7"/>
        <v>LOSS</v>
      </c>
      <c r="P145" s="3">
        <f t="shared" si="8"/>
        <v>1</v>
      </c>
      <c r="Q145" s="3">
        <f t="shared" si="9"/>
        <v>0</v>
      </c>
      <c r="R145" s="12">
        <f t="shared" si="10"/>
        <v>0</v>
      </c>
    </row>
    <row r="146">
      <c r="A146" s="3" t="s">
        <v>180</v>
      </c>
      <c r="B146" s="4">
        <v>46222.0</v>
      </c>
      <c r="C146" s="4" t="str">
        <f t="shared" si="1"/>
        <v>July</v>
      </c>
      <c r="D146" s="3" t="s">
        <v>30</v>
      </c>
      <c r="E146" s="3" t="s">
        <v>15</v>
      </c>
      <c r="F146" s="3" t="s">
        <v>161</v>
      </c>
      <c r="G146" s="3" t="str">
        <f>VLOOKUP(F146, 'KODE PESAWAT'!$A$2:$C$42, 3, FALSE)</f>
        <v>Lion Air Group</v>
      </c>
      <c r="H146" s="10">
        <v>996000.0</v>
      </c>
      <c r="I146" s="10">
        <v>2490000.0</v>
      </c>
      <c r="J146" s="10">
        <f t="shared" si="2"/>
        <v>-1494000</v>
      </c>
      <c r="K146" s="11">
        <f t="shared" si="3"/>
        <v>-1.5</v>
      </c>
      <c r="L146" s="3" t="str">
        <f t="shared" si="4"/>
        <v>Over Buffer</v>
      </c>
      <c r="M146" s="10">
        <f t="shared" si="5"/>
        <v>-996000</v>
      </c>
      <c r="N146" s="3" t="str">
        <f t="shared" si="6"/>
        <v>Refund</v>
      </c>
      <c r="O146" s="3" t="str">
        <f t="shared" si="7"/>
        <v>N/A</v>
      </c>
      <c r="P146" s="3">
        <f t="shared" si="8"/>
        <v>0</v>
      </c>
      <c r="Q146" s="3">
        <f t="shared" si="9"/>
        <v>0</v>
      </c>
      <c r="R146" s="12">
        <f t="shared" si="10"/>
        <v>1</v>
      </c>
    </row>
    <row r="147">
      <c r="A147" s="3" t="s">
        <v>181</v>
      </c>
      <c r="B147" s="4">
        <v>46344.0</v>
      </c>
      <c r="C147" s="4" t="str">
        <f t="shared" si="1"/>
        <v>November</v>
      </c>
      <c r="D147" s="3" t="s">
        <v>18</v>
      </c>
      <c r="E147" s="3" t="s">
        <v>11</v>
      </c>
      <c r="F147" s="3" t="s">
        <v>63</v>
      </c>
      <c r="G147" s="3" t="str">
        <f>VLOOKUP(F147, 'KODE PESAWAT'!$A$2:$C$42, 3, FALSE)</f>
        <v>Lion Air Group</v>
      </c>
      <c r="H147" s="10">
        <v>1286000.0</v>
      </c>
      <c r="I147" s="10">
        <v>1478900.0</v>
      </c>
      <c r="J147" s="10">
        <f t="shared" si="2"/>
        <v>-192900</v>
      </c>
      <c r="K147" s="11">
        <f t="shared" si="3"/>
        <v>-0.15</v>
      </c>
      <c r="L147" s="3" t="str">
        <f t="shared" si="4"/>
        <v>Fare Increase</v>
      </c>
      <c r="M147" s="10">
        <f t="shared" si="5"/>
        <v>192900</v>
      </c>
      <c r="N147" s="3" t="str">
        <f t="shared" si="6"/>
        <v>Issued</v>
      </c>
      <c r="O147" s="3" t="str">
        <f t="shared" si="7"/>
        <v>LOSS</v>
      </c>
      <c r="P147" s="3">
        <f t="shared" si="8"/>
        <v>1</v>
      </c>
      <c r="Q147" s="3">
        <f t="shared" si="9"/>
        <v>0</v>
      </c>
      <c r="R147" s="12">
        <f t="shared" si="10"/>
        <v>0</v>
      </c>
    </row>
    <row r="148">
      <c r="A148" s="3" t="s">
        <v>182</v>
      </c>
      <c r="B148" s="4">
        <v>46359.0</v>
      </c>
      <c r="C148" s="4" t="str">
        <f t="shared" si="1"/>
        <v>December</v>
      </c>
      <c r="D148" s="3" t="s">
        <v>30</v>
      </c>
      <c r="E148" s="3" t="s">
        <v>15</v>
      </c>
      <c r="F148" s="3" t="s">
        <v>100</v>
      </c>
      <c r="G148" s="3" t="str">
        <f>VLOOKUP(F148, 'KODE PESAWAT'!$A$2:$C$42, 3, FALSE)</f>
        <v>JG Summit Holdings</v>
      </c>
      <c r="H148" s="10">
        <v>1577000.0</v>
      </c>
      <c r="I148" s="10">
        <v>3942500.0</v>
      </c>
      <c r="J148" s="10">
        <f t="shared" si="2"/>
        <v>-2365500</v>
      </c>
      <c r="K148" s="11">
        <f t="shared" si="3"/>
        <v>-1.5</v>
      </c>
      <c r="L148" s="3" t="str">
        <f t="shared" si="4"/>
        <v>Over Buffer</v>
      </c>
      <c r="M148" s="10">
        <f t="shared" si="5"/>
        <v>-1577000</v>
      </c>
      <c r="N148" s="3" t="str">
        <f t="shared" si="6"/>
        <v>Refund</v>
      </c>
      <c r="O148" s="3" t="str">
        <f t="shared" si="7"/>
        <v>N/A</v>
      </c>
      <c r="P148" s="3">
        <f t="shared" si="8"/>
        <v>0</v>
      </c>
      <c r="Q148" s="3">
        <f t="shared" si="9"/>
        <v>0</v>
      </c>
      <c r="R148" s="12">
        <f t="shared" si="10"/>
        <v>1</v>
      </c>
    </row>
    <row r="149">
      <c r="A149" s="3" t="s">
        <v>183</v>
      </c>
      <c r="B149" s="4">
        <v>46206.0</v>
      </c>
      <c r="C149" s="4" t="str">
        <f t="shared" si="1"/>
        <v>July</v>
      </c>
      <c r="D149" s="3" t="s">
        <v>23</v>
      </c>
      <c r="E149" s="3" t="s">
        <v>15</v>
      </c>
      <c r="F149" s="3" t="s">
        <v>19</v>
      </c>
      <c r="G149" s="3" t="str">
        <f>VLOOKUP(F149, 'KODE PESAWAT'!$A$2:$C$42, 3, FALSE)</f>
        <v>Lion Air Group</v>
      </c>
      <c r="H149" s="10">
        <v>881000.0</v>
      </c>
      <c r="I149" s="10">
        <v>1233400.0</v>
      </c>
      <c r="J149" s="10">
        <f t="shared" si="2"/>
        <v>-352400</v>
      </c>
      <c r="K149" s="11">
        <f t="shared" si="3"/>
        <v>-0.4</v>
      </c>
      <c r="L149" s="3" t="str">
        <f t="shared" si="4"/>
        <v>Fare Increase</v>
      </c>
      <c r="M149" s="10">
        <f t="shared" si="5"/>
        <v>352400</v>
      </c>
      <c r="N149" s="3" t="str">
        <f t="shared" si="6"/>
        <v>Issued</v>
      </c>
      <c r="O149" s="3" t="str">
        <f t="shared" si="7"/>
        <v>LOSS</v>
      </c>
      <c r="P149" s="3">
        <f t="shared" si="8"/>
        <v>1</v>
      </c>
      <c r="Q149" s="3">
        <f t="shared" si="9"/>
        <v>0</v>
      </c>
      <c r="R149" s="12">
        <f t="shared" si="10"/>
        <v>0</v>
      </c>
    </row>
    <row r="150">
      <c r="A150" s="3" t="s">
        <v>184</v>
      </c>
      <c r="B150" s="4">
        <v>46297.0</v>
      </c>
      <c r="C150" s="4" t="str">
        <f t="shared" si="1"/>
        <v>October</v>
      </c>
      <c r="D150" s="3" t="s">
        <v>10</v>
      </c>
      <c r="E150" s="3" t="s">
        <v>11</v>
      </c>
      <c r="F150" s="3" t="s">
        <v>21</v>
      </c>
      <c r="G150" s="3" t="str">
        <f>VLOOKUP(F150, 'KODE PESAWAT'!$A$2:$C$42, 3, FALSE)</f>
        <v>Singapore Airlines Group</v>
      </c>
      <c r="H150" s="10">
        <v>585000.0</v>
      </c>
      <c r="I150" s="10">
        <v>672750.0</v>
      </c>
      <c r="J150" s="10">
        <f t="shared" si="2"/>
        <v>-87750</v>
      </c>
      <c r="K150" s="11">
        <f t="shared" si="3"/>
        <v>-0.15</v>
      </c>
      <c r="L150" s="3" t="str">
        <f t="shared" si="4"/>
        <v>Fare Increase</v>
      </c>
      <c r="M150" s="10">
        <f t="shared" si="5"/>
        <v>87750</v>
      </c>
      <c r="N150" s="3" t="str">
        <f t="shared" si="6"/>
        <v>Issued</v>
      </c>
      <c r="O150" s="3" t="str">
        <f t="shared" si="7"/>
        <v>LOSS</v>
      </c>
      <c r="P150" s="3">
        <f t="shared" si="8"/>
        <v>1</v>
      </c>
      <c r="Q150" s="3">
        <f t="shared" si="9"/>
        <v>0</v>
      </c>
      <c r="R150" s="12">
        <f t="shared" si="10"/>
        <v>0</v>
      </c>
    </row>
    <row r="151">
      <c r="A151" s="3" t="s">
        <v>185</v>
      </c>
      <c r="B151" s="4">
        <v>46163.0</v>
      </c>
      <c r="C151" s="4" t="str">
        <f t="shared" si="1"/>
        <v>May</v>
      </c>
      <c r="D151" s="3" t="s">
        <v>18</v>
      </c>
      <c r="E151" s="3" t="s">
        <v>11</v>
      </c>
      <c r="F151" s="3" t="s">
        <v>35</v>
      </c>
      <c r="G151" s="3" t="str">
        <f>VLOOKUP(F151, 'KODE PESAWAT'!$A$2:$C$42, 3, FALSE)</f>
        <v>Lion Air Group</v>
      </c>
      <c r="H151" s="10">
        <v>1243000.0</v>
      </c>
      <c r="I151" s="10">
        <v>3107500.0</v>
      </c>
      <c r="J151" s="10">
        <f t="shared" si="2"/>
        <v>-1864500</v>
      </c>
      <c r="K151" s="11">
        <f t="shared" si="3"/>
        <v>-1.5</v>
      </c>
      <c r="L151" s="3" t="str">
        <f t="shared" si="4"/>
        <v>Over Buffer</v>
      </c>
      <c r="M151" s="10">
        <f t="shared" si="5"/>
        <v>-1243000</v>
      </c>
      <c r="N151" s="3" t="str">
        <f t="shared" si="6"/>
        <v>Refund</v>
      </c>
      <c r="O151" s="3" t="str">
        <f t="shared" si="7"/>
        <v>N/A</v>
      </c>
      <c r="P151" s="3">
        <f t="shared" si="8"/>
        <v>0</v>
      </c>
      <c r="Q151" s="3">
        <f t="shared" si="9"/>
        <v>0</v>
      </c>
      <c r="R151" s="12">
        <f t="shared" si="10"/>
        <v>1</v>
      </c>
    </row>
    <row r="152">
      <c r="A152" s="3" t="s">
        <v>186</v>
      </c>
      <c r="B152" s="4">
        <v>46251.0</v>
      </c>
      <c r="C152" s="4" t="str">
        <f t="shared" si="1"/>
        <v>August</v>
      </c>
      <c r="D152" s="3" t="s">
        <v>30</v>
      </c>
      <c r="E152" s="3" t="s">
        <v>15</v>
      </c>
      <c r="F152" s="3" t="s">
        <v>78</v>
      </c>
      <c r="G152" s="3" t="str">
        <f>VLOOKUP(F152, 'KODE PESAWAT'!$A$2:$C$42, 3, FALSE)</f>
        <v>Virgin Australia Group</v>
      </c>
      <c r="H152" s="10">
        <v>3528000.0</v>
      </c>
      <c r="I152" s="10">
        <v>8820000.0</v>
      </c>
      <c r="J152" s="10">
        <f t="shared" si="2"/>
        <v>-5292000</v>
      </c>
      <c r="K152" s="11">
        <f t="shared" si="3"/>
        <v>-1.5</v>
      </c>
      <c r="L152" s="3" t="str">
        <f t="shared" si="4"/>
        <v>Over Buffer</v>
      </c>
      <c r="M152" s="10">
        <f t="shared" si="5"/>
        <v>-3528000</v>
      </c>
      <c r="N152" s="3" t="str">
        <f t="shared" si="6"/>
        <v>Refund</v>
      </c>
      <c r="O152" s="3" t="str">
        <f t="shared" si="7"/>
        <v>N/A</v>
      </c>
      <c r="P152" s="3">
        <f t="shared" si="8"/>
        <v>0</v>
      </c>
      <c r="Q152" s="3">
        <f t="shared" si="9"/>
        <v>0</v>
      </c>
      <c r="R152" s="12">
        <f t="shared" si="10"/>
        <v>1</v>
      </c>
    </row>
    <row r="153">
      <c r="A153" s="3" t="s">
        <v>187</v>
      </c>
      <c r="B153" s="4">
        <v>46185.0</v>
      </c>
      <c r="C153" s="4" t="str">
        <f t="shared" si="1"/>
        <v>June</v>
      </c>
      <c r="D153" s="3" t="s">
        <v>23</v>
      </c>
      <c r="E153" s="3" t="s">
        <v>15</v>
      </c>
      <c r="F153" s="3" t="s">
        <v>33</v>
      </c>
      <c r="G153" s="3" t="str">
        <f>VLOOKUP(F153, 'KODE PESAWAT'!$A$2:$C$42, 3, FALSE)</f>
        <v>Garuda Indonesia Group</v>
      </c>
      <c r="H153" s="10">
        <v>669000.0</v>
      </c>
      <c r="I153" s="10">
        <v>635550.0</v>
      </c>
      <c r="J153" s="10">
        <f t="shared" si="2"/>
        <v>33450</v>
      </c>
      <c r="K153" s="11">
        <f t="shared" si="3"/>
        <v>0.05</v>
      </c>
      <c r="L153" s="3" t="str">
        <f t="shared" si="4"/>
        <v>Normal</v>
      </c>
      <c r="M153" s="10">
        <f t="shared" si="5"/>
        <v>-33450</v>
      </c>
      <c r="N153" s="3" t="str">
        <f t="shared" si="6"/>
        <v>Issued</v>
      </c>
      <c r="O153" s="3" t="str">
        <f t="shared" si="7"/>
        <v>PROFIT</v>
      </c>
      <c r="P153" s="3">
        <f t="shared" si="8"/>
        <v>1</v>
      </c>
      <c r="Q153" s="3">
        <f t="shared" si="9"/>
        <v>1</v>
      </c>
      <c r="R153" s="12">
        <f t="shared" si="10"/>
        <v>0</v>
      </c>
    </row>
    <row r="154">
      <c r="A154" s="3" t="s">
        <v>188</v>
      </c>
      <c r="B154" s="4">
        <v>46304.0</v>
      </c>
      <c r="C154" s="4" t="str">
        <f t="shared" si="1"/>
        <v>October</v>
      </c>
      <c r="D154" s="3" t="s">
        <v>14</v>
      </c>
      <c r="E154" s="3" t="s">
        <v>15</v>
      </c>
      <c r="F154" s="3" t="s">
        <v>37</v>
      </c>
      <c r="G154" s="3" t="str">
        <f>VLOOKUP(F154, 'KODE PESAWAT'!$A$2:$C$42, 3, FALSE)</f>
        <v>Lion Air Group</v>
      </c>
      <c r="H154" s="10">
        <v>5750000.0</v>
      </c>
      <c r="I154" s="10">
        <v>5462500.0</v>
      </c>
      <c r="J154" s="10">
        <f t="shared" si="2"/>
        <v>287500</v>
      </c>
      <c r="K154" s="11">
        <f t="shared" si="3"/>
        <v>0.05</v>
      </c>
      <c r="L154" s="3" t="str">
        <f t="shared" si="4"/>
        <v>Normal</v>
      </c>
      <c r="M154" s="10">
        <f t="shared" si="5"/>
        <v>-287500</v>
      </c>
      <c r="N154" s="3" t="str">
        <f t="shared" si="6"/>
        <v>Issued</v>
      </c>
      <c r="O154" s="3" t="str">
        <f t="shared" si="7"/>
        <v>PROFIT</v>
      </c>
      <c r="P154" s="3">
        <f t="shared" si="8"/>
        <v>1</v>
      </c>
      <c r="Q154" s="3">
        <f t="shared" si="9"/>
        <v>1</v>
      </c>
      <c r="R154" s="12">
        <f t="shared" si="10"/>
        <v>0</v>
      </c>
    </row>
    <row r="155">
      <c r="A155" s="3" t="s">
        <v>189</v>
      </c>
      <c r="B155" s="4">
        <v>46115.0</v>
      </c>
      <c r="C155" s="4" t="str">
        <f t="shared" si="1"/>
        <v>April</v>
      </c>
      <c r="D155" s="3" t="s">
        <v>10</v>
      </c>
      <c r="E155" s="3" t="s">
        <v>11</v>
      </c>
      <c r="F155" s="3" t="s">
        <v>12</v>
      </c>
      <c r="G155" s="3" t="str">
        <f>VLOOKUP(F155, 'KODE PESAWAT'!$A$2:$C$42, 3, FALSE)</f>
        <v>AirAsia Group</v>
      </c>
      <c r="H155" s="10">
        <v>1.3164E7</v>
      </c>
      <c r="I155" s="10">
        <v>1.25058E7</v>
      </c>
      <c r="J155" s="10">
        <f t="shared" si="2"/>
        <v>658200</v>
      </c>
      <c r="K155" s="11">
        <f t="shared" si="3"/>
        <v>0.05</v>
      </c>
      <c r="L155" s="3" t="str">
        <f t="shared" si="4"/>
        <v>Normal</v>
      </c>
      <c r="M155" s="10">
        <f t="shared" si="5"/>
        <v>-658200</v>
      </c>
      <c r="N155" s="3" t="str">
        <f t="shared" si="6"/>
        <v>Issued</v>
      </c>
      <c r="O155" s="3" t="str">
        <f t="shared" si="7"/>
        <v>PROFIT</v>
      </c>
      <c r="P155" s="3">
        <f t="shared" si="8"/>
        <v>1</v>
      </c>
      <c r="Q155" s="3">
        <f t="shared" si="9"/>
        <v>1</v>
      </c>
      <c r="R155" s="12">
        <f t="shared" si="10"/>
        <v>0</v>
      </c>
    </row>
    <row r="156">
      <c r="A156" s="3" t="s">
        <v>190</v>
      </c>
      <c r="B156" s="4">
        <v>46327.0</v>
      </c>
      <c r="C156" s="4" t="str">
        <f t="shared" si="1"/>
        <v>November</v>
      </c>
      <c r="D156" s="3" t="s">
        <v>30</v>
      </c>
      <c r="E156" s="3" t="s">
        <v>15</v>
      </c>
      <c r="F156" s="3" t="s">
        <v>136</v>
      </c>
      <c r="G156" s="3" t="str">
        <f>VLOOKUP(F156, 'KODE PESAWAT'!$A$2:$C$42, 3, FALSE)</f>
        <v>AirAsia Group</v>
      </c>
      <c r="H156" s="10">
        <v>4557000.0</v>
      </c>
      <c r="I156" s="10">
        <v>6379800.0</v>
      </c>
      <c r="J156" s="10">
        <f t="shared" si="2"/>
        <v>-1822800</v>
      </c>
      <c r="K156" s="11">
        <f t="shared" si="3"/>
        <v>-0.4</v>
      </c>
      <c r="L156" s="3" t="str">
        <f t="shared" si="4"/>
        <v>Fare Increase</v>
      </c>
      <c r="M156" s="10">
        <f t="shared" si="5"/>
        <v>1822800</v>
      </c>
      <c r="N156" s="3" t="str">
        <f t="shared" si="6"/>
        <v>Issued</v>
      </c>
      <c r="O156" s="3" t="str">
        <f t="shared" si="7"/>
        <v>LOSS</v>
      </c>
      <c r="P156" s="3">
        <f t="shared" si="8"/>
        <v>1</v>
      </c>
      <c r="Q156" s="3">
        <f t="shared" si="9"/>
        <v>0</v>
      </c>
      <c r="R156" s="12">
        <f t="shared" si="10"/>
        <v>0</v>
      </c>
    </row>
    <row r="157">
      <c r="A157" s="3" t="s">
        <v>191</v>
      </c>
      <c r="B157" s="4">
        <v>46167.0</v>
      </c>
      <c r="C157" s="4" t="str">
        <f t="shared" si="1"/>
        <v>May</v>
      </c>
      <c r="D157" s="3" t="s">
        <v>14</v>
      </c>
      <c r="E157" s="3" t="s">
        <v>15</v>
      </c>
      <c r="F157" s="3" t="s">
        <v>63</v>
      </c>
      <c r="G157" s="3" t="str">
        <f>VLOOKUP(F157, 'KODE PESAWAT'!$A$2:$C$42, 3, FALSE)</f>
        <v>Lion Air Group</v>
      </c>
      <c r="H157" s="10">
        <v>985000.0</v>
      </c>
      <c r="I157" s="10">
        <v>2462500.0</v>
      </c>
      <c r="J157" s="10">
        <f t="shared" si="2"/>
        <v>-1477500</v>
      </c>
      <c r="K157" s="11">
        <f t="shared" si="3"/>
        <v>-1.5</v>
      </c>
      <c r="L157" s="3" t="str">
        <f t="shared" si="4"/>
        <v>Over Buffer</v>
      </c>
      <c r="M157" s="10">
        <f t="shared" si="5"/>
        <v>-985000</v>
      </c>
      <c r="N157" s="3" t="str">
        <f t="shared" si="6"/>
        <v>Refund</v>
      </c>
      <c r="O157" s="3" t="str">
        <f t="shared" si="7"/>
        <v>N/A</v>
      </c>
      <c r="P157" s="3">
        <f t="shared" si="8"/>
        <v>0</v>
      </c>
      <c r="Q157" s="3">
        <f t="shared" si="9"/>
        <v>0</v>
      </c>
      <c r="R157" s="12">
        <f t="shared" si="10"/>
        <v>1</v>
      </c>
    </row>
    <row r="158">
      <c r="A158" s="3" t="s">
        <v>192</v>
      </c>
      <c r="B158" s="4">
        <v>46032.0</v>
      </c>
      <c r="C158" s="4" t="str">
        <f t="shared" si="1"/>
        <v>January</v>
      </c>
      <c r="D158" s="3" t="s">
        <v>30</v>
      </c>
      <c r="E158" s="3" t="s">
        <v>15</v>
      </c>
      <c r="F158" s="3" t="s">
        <v>61</v>
      </c>
      <c r="G158" s="3" t="str">
        <f>VLOOKUP(F158, 'KODE PESAWAT'!$A$2:$C$42, 3, FALSE)</f>
        <v>Vietravel Group</v>
      </c>
      <c r="H158" s="10">
        <v>8738000.0</v>
      </c>
      <c r="I158" s="10">
        <v>1.22332E7</v>
      </c>
      <c r="J158" s="10">
        <f t="shared" si="2"/>
        <v>-3495200</v>
      </c>
      <c r="K158" s="11">
        <f t="shared" si="3"/>
        <v>-0.4</v>
      </c>
      <c r="L158" s="3" t="str">
        <f t="shared" si="4"/>
        <v>Fare Increase</v>
      </c>
      <c r="M158" s="10">
        <f t="shared" si="5"/>
        <v>3495200</v>
      </c>
      <c r="N158" s="3" t="str">
        <f t="shared" si="6"/>
        <v>Issued</v>
      </c>
      <c r="O158" s="3" t="str">
        <f t="shared" si="7"/>
        <v>LOSS</v>
      </c>
      <c r="P158" s="3">
        <f t="shared" si="8"/>
        <v>1</v>
      </c>
      <c r="Q158" s="3">
        <f t="shared" si="9"/>
        <v>0</v>
      </c>
      <c r="R158" s="12">
        <f t="shared" si="10"/>
        <v>0</v>
      </c>
    </row>
    <row r="159">
      <c r="A159" s="3" t="s">
        <v>193</v>
      </c>
      <c r="B159" s="4">
        <v>46288.0</v>
      </c>
      <c r="C159" s="4" t="str">
        <f t="shared" si="1"/>
        <v>September</v>
      </c>
      <c r="D159" s="3" t="s">
        <v>23</v>
      </c>
      <c r="E159" s="3" t="s">
        <v>15</v>
      </c>
      <c r="F159" s="3" t="s">
        <v>31</v>
      </c>
      <c r="G159" s="3" t="str">
        <f>VLOOKUP(F159, 'KODE PESAWAT'!$A$2:$C$42, 3, FALSE)</f>
        <v>Garuda Indonesia Group</v>
      </c>
      <c r="H159" s="10">
        <v>887000.0</v>
      </c>
      <c r="I159" s="10">
        <v>2217500.0</v>
      </c>
      <c r="J159" s="10">
        <f t="shared" si="2"/>
        <v>-1330500</v>
      </c>
      <c r="K159" s="11">
        <f t="shared" si="3"/>
        <v>-1.5</v>
      </c>
      <c r="L159" s="3" t="str">
        <f t="shared" si="4"/>
        <v>Over Buffer</v>
      </c>
      <c r="M159" s="10">
        <f t="shared" si="5"/>
        <v>-887000</v>
      </c>
      <c r="N159" s="3" t="str">
        <f t="shared" si="6"/>
        <v>Refund</v>
      </c>
      <c r="O159" s="3" t="str">
        <f t="shared" si="7"/>
        <v>N/A</v>
      </c>
      <c r="P159" s="3">
        <f t="shared" si="8"/>
        <v>0</v>
      </c>
      <c r="Q159" s="3">
        <f t="shared" si="9"/>
        <v>0</v>
      </c>
      <c r="R159" s="12">
        <f t="shared" si="10"/>
        <v>1</v>
      </c>
    </row>
    <row r="160">
      <c r="A160" s="3" t="s">
        <v>194</v>
      </c>
      <c r="B160" s="4">
        <v>46030.0</v>
      </c>
      <c r="C160" s="4" t="str">
        <f t="shared" si="1"/>
        <v>January</v>
      </c>
      <c r="D160" s="3" t="s">
        <v>14</v>
      </c>
      <c r="E160" s="3" t="s">
        <v>15</v>
      </c>
      <c r="F160" s="3" t="s">
        <v>16</v>
      </c>
      <c r="G160" s="3" t="str">
        <f>VLOOKUP(F160, 'KODE PESAWAT'!$A$2:$C$42, 3, FALSE)</f>
        <v>Thai Airways Group (Associate)</v>
      </c>
      <c r="H160" s="10">
        <v>1123000.0</v>
      </c>
      <c r="I160" s="10">
        <v>1291450.0</v>
      </c>
      <c r="J160" s="10">
        <f t="shared" si="2"/>
        <v>-168450</v>
      </c>
      <c r="K160" s="11">
        <f t="shared" si="3"/>
        <v>-0.15</v>
      </c>
      <c r="L160" s="3" t="str">
        <f t="shared" si="4"/>
        <v>Fare Increase</v>
      </c>
      <c r="M160" s="10">
        <f t="shared" si="5"/>
        <v>168450</v>
      </c>
      <c r="N160" s="3" t="str">
        <f t="shared" si="6"/>
        <v>Issued</v>
      </c>
      <c r="O160" s="3" t="str">
        <f t="shared" si="7"/>
        <v>LOSS</v>
      </c>
      <c r="P160" s="3">
        <f t="shared" si="8"/>
        <v>1</v>
      </c>
      <c r="Q160" s="3">
        <f t="shared" si="9"/>
        <v>0</v>
      </c>
      <c r="R160" s="12">
        <f t="shared" si="10"/>
        <v>0</v>
      </c>
    </row>
    <row r="161">
      <c r="A161" s="3" t="s">
        <v>195</v>
      </c>
      <c r="B161" s="4">
        <v>46374.0</v>
      </c>
      <c r="C161" s="4" t="str">
        <f t="shared" si="1"/>
        <v>December</v>
      </c>
      <c r="D161" s="3" t="s">
        <v>23</v>
      </c>
      <c r="E161" s="3" t="s">
        <v>15</v>
      </c>
      <c r="F161" s="3" t="s">
        <v>19</v>
      </c>
      <c r="G161" s="3" t="str">
        <f>VLOOKUP(F161, 'KODE PESAWAT'!$A$2:$C$42, 3, FALSE)</f>
        <v>Lion Air Group</v>
      </c>
      <c r="H161" s="10">
        <v>564000.0</v>
      </c>
      <c r="I161" s="10">
        <v>789600.0</v>
      </c>
      <c r="J161" s="10">
        <f t="shared" si="2"/>
        <v>-225600</v>
      </c>
      <c r="K161" s="11">
        <f t="shared" si="3"/>
        <v>-0.4</v>
      </c>
      <c r="L161" s="3" t="str">
        <f t="shared" si="4"/>
        <v>Fare Increase</v>
      </c>
      <c r="M161" s="10">
        <f t="shared" si="5"/>
        <v>225600</v>
      </c>
      <c r="N161" s="3" t="str">
        <f t="shared" si="6"/>
        <v>Issued</v>
      </c>
      <c r="O161" s="3" t="str">
        <f t="shared" si="7"/>
        <v>LOSS</v>
      </c>
      <c r="P161" s="3">
        <f t="shared" si="8"/>
        <v>1</v>
      </c>
      <c r="Q161" s="3">
        <f t="shared" si="9"/>
        <v>0</v>
      </c>
      <c r="R161" s="12">
        <f t="shared" si="10"/>
        <v>0</v>
      </c>
    </row>
    <row r="162">
      <c r="A162" s="3" t="s">
        <v>196</v>
      </c>
      <c r="B162" s="4">
        <v>46346.0</v>
      </c>
      <c r="C162" s="4" t="str">
        <f t="shared" si="1"/>
        <v>November</v>
      </c>
      <c r="D162" s="3" t="s">
        <v>10</v>
      </c>
      <c r="E162" s="3" t="s">
        <v>11</v>
      </c>
      <c r="F162" s="3" t="s">
        <v>35</v>
      </c>
      <c r="G162" s="3" t="str">
        <f>VLOOKUP(F162, 'KODE PESAWAT'!$A$2:$C$42, 3, FALSE)</f>
        <v>Lion Air Group</v>
      </c>
      <c r="H162" s="10">
        <v>3534000.0</v>
      </c>
      <c r="I162" s="10">
        <v>4064099.9999999995</v>
      </c>
      <c r="J162" s="10">
        <f t="shared" si="2"/>
        <v>-530100</v>
      </c>
      <c r="K162" s="11">
        <f t="shared" si="3"/>
        <v>-0.15</v>
      </c>
      <c r="L162" s="3" t="str">
        <f t="shared" si="4"/>
        <v>Fare Increase</v>
      </c>
      <c r="M162" s="10">
        <f t="shared" si="5"/>
        <v>530100</v>
      </c>
      <c r="N162" s="3" t="str">
        <f t="shared" si="6"/>
        <v>Issued</v>
      </c>
      <c r="O162" s="3" t="str">
        <f t="shared" si="7"/>
        <v>LOSS</v>
      </c>
      <c r="P162" s="3">
        <f t="shared" si="8"/>
        <v>1</v>
      </c>
      <c r="Q162" s="3">
        <f t="shared" si="9"/>
        <v>0</v>
      </c>
      <c r="R162" s="12">
        <f t="shared" si="10"/>
        <v>0</v>
      </c>
    </row>
    <row r="163">
      <c r="A163" s="3" t="s">
        <v>197</v>
      </c>
      <c r="B163" s="4">
        <v>46256.0</v>
      </c>
      <c r="C163" s="4" t="str">
        <f t="shared" si="1"/>
        <v>August</v>
      </c>
      <c r="D163" s="3" t="s">
        <v>23</v>
      </c>
      <c r="E163" s="3" t="s">
        <v>15</v>
      </c>
      <c r="F163" s="3" t="s">
        <v>19</v>
      </c>
      <c r="G163" s="3" t="str">
        <f>VLOOKUP(F163, 'KODE PESAWAT'!$A$2:$C$42, 3, FALSE)</f>
        <v>Lion Air Group</v>
      </c>
      <c r="H163" s="10">
        <v>1753000.0</v>
      </c>
      <c r="I163" s="10">
        <v>4382500.0</v>
      </c>
      <c r="J163" s="10">
        <f t="shared" si="2"/>
        <v>-2629500</v>
      </c>
      <c r="K163" s="11">
        <f t="shared" si="3"/>
        <v>-1.5</v>
      </c>
      <c r="L163" s="3" t="str">
        <f t="shared" si="4"/>
        <v>Over Buffer</v>
      </c>
      <c r="M163" s="10">
        <f t="shared" si="5"/>
        <v>-1753000</v>
      </c>
      <c r="N163" s="3" t="str">
        <f t="shared" si="6"/>
        <v>Refund</v>
      </c>
      <c r="O163" s="3" t="str">
        <f t="shared" si="7"/>
        <v>N/A</v>
      </c>
      <c r="P163" s="3">
        <f t="shared" si="8"/>
        <v>0</v>
      </c>
      <c r="Q163" s="3">
        <f t="shared" si="9"/>
        <v>0</v>
      </c>
      <c r="R163" s="12">
        <f t="shared" si="10"/>
        <v>1</v>
      </c>
    </row>
    <row r="164">
      <c r="A164" s="3" t="s">
        <v>198</v>
      </c>
      <c r="B164" s="4">
        <v>46273.0</v>
      </c>
      <c r="C164" s="4" t="str">
        <f t="shared" si="1"/>
        <v>September</v>
      </c>
      <c r="D164" s="3" t="s">
        <v>10</v>
      </c>
      <c r="E164" s="3" t="s">
        <v>11</v>
      </c>
      <c r="F164" s="3" t="s">
        <v>12</v>
      </c>
      <c r="G164" s="3" t="str">
        <f>VLOOKUP(F164, 'KODE PESAWAT'!$A$2:$C$42, 3, FALSE)</f>
        <v>AirAsia Group</v>
      </c>
      <c r="H164" s="10">
        <v>526000.0</v>
      </c>
      <c r="I164" s="10">
        <v>1315000.0</v>
      </c>
      <c r="J164" s="10">
        <f t="shared" si="2"/>
        <v>-789000</v>
      </c>
      <c r="K164" s="11">
        <f t="shared" si="3"/>
        <v>-1.5</v>
      </c>
      <c r="L164" s="3" t="str">
        <f t="shared" si="4"/>
        <v>Over Buffer</v>
      </c>
      <c r="M164" s="10">
        <f t="shared" si="5"/>
        <v>-526000</v>
      </c>
      <c r="N164" s="3" t="str">
        <f t="shared" si="6"/>
        <v>Refund</v>
      </c>
      <c r="O164" s="3" t="str">
        <f t="shared" si="7"/>
        <v>N/A</v>
      </c>
      <c r="P164" s="3">
        <f t="shared" si="8"/>
        <v>0</v>
      </c>
      <c r="Q164" s="3">
        <f t="shared" si="9"/>
        <v>0</v>
      </c>
      <c r="R164" s="12">
        <f t="shared" si="10"/>
        <v>1</v>
      </c>
    </row>
    <row r="165">
      <c r="A165" s="3" t="s">
        <v>199</v>
      </c>
      <c r="B165" s="4">
        <v>46210.0</v>
      </c>
      <c r="C165" s="4" t="str">
        <f t="shared" si="1"/>
        <v>July</v>
      </c>
      <c r="D165" s="3" t="s">
        <v>30</v>
      </c>
      <c r="E165" s="3" t="s">
        <v>15</v>
      </c>
      <c r="F165" s="3" t="s">
        <v>63</v>
      </c>
      <c r="G165" s="3" t="str">
        <f>VLOOKUP(F165, 'KODE PESAWAT'!$A$2:$C$42, 3, FALSE)</f>
        <v>Lion Air Group</v>
      </c>
      <c r="H165" s="10">
        <v>9487000.0</v>
      </c>
      <c r="I165" s="10">
        <v>1.32818E7</v>
      </c>
      <c r="J165" s="10">
        <f t="shared" si="2"/>
        <v>-3794800</v>
      </c>
      <c r="K165" s="11">
        <f t="shared" si="3"/>
        <v>-0.4</v>
      </c>
      <c r="L165" s="3" t="str">
        <f t="shared" si="4"/>
        <v>Fare Increase</v>
      </c>
      <c r="M165" s="10">
        <f t="shared" si="5"/>
        <v>3794800</v>
      </c>
      <c r="N165" s="3" t="str">
        <f t="shared" si="6"/>
        <v>Issued</v>
      </c>
      <c r="O165" s="3" t="str">
        <f t="shared" si="7"/>
        <v>LOSS</v>
      </c>
      <c r="P165" s="3">
        <f t="shared" si="8"/>
        <v>1</v>
      </c>
      <c r="Q165" s="3">
        <f t="shared" si="9"/>
        <v>0</v>
      </c>
      <c r="R165" s="12">
        <f t="shared" si="10"/>
        <v>0</v>
      </c>
    </row>
    <row r="166">
      <c r="A166" s="3" t="s">
        <v>200</v>
      </c>
      <c r="B166" s="4">
        <v>46149.0</v>
      </c>
      <c r="C166" s="4" t="str">
        <f t="shared" si="1"/>
        <v>May</v>
      </c>
      <c r="D166" s="3" t="s">
        <v>23</v>
      </c>
      <c r="E166" s="3" t="s">
        <v>15</v>
      </c>
      <c r="F166" s="3" t="s">
        <v>33</v>
      </c>
      <c r="G166" s="3" t="str">
        <f>VLOOKUP(F166, 'KODE PESAWAT'!$A$2:$C$42, 3, FALSE)</f>
        <v>Garuda Indonesia Group</v>
      </c>
      <c r="H166" s="10">
        <v>7012000.0</v>
      </c>
      <c r="I166" s="10">
        <v>8063799.999999999</v>
      </c>
      <c r="J166" s="10">
        <f t="shared" si="2"/>
        <v>-1051800</v>
      </c>
      <c r="K166" s="11">
        <f t="shared" si="3"/>
        <v>-0.15</v>
      </c>
      <c r="L166" s="3" t="str">
        <f t="shared" si="4"/>
        <v>Fare Increase</v>
      </c>
      <c r="M166" s="10">
        <f t="shared" si="5"/>
        <v>1051800</v>
      </c>
      <c r="N166" s="3" t="str">
        <f t="shared" si="6"/>
        <v>Issued</v>
      </c>
      <c r="O166" s="3" t="str">
        <f t="shared" si="7"/>
        <v>LOSS</v>
      </c>
      <c r="P166" s="3">
        <f t="shared" si="8"/>
        <v>1</v>
      </c>
      <c r="Q166" s="3">
        <f t="shared" si="9"/>
        <v>0</v>
      </c>
      <c r="R166" s="12">
        <f t="shared" si="10"/>
        <v>0</v>
      </c>
    </row>
    <row r="167">
      <c r="A167" s="3" t="s">
        <v>201</v>
      </c>
      <c r="B167" s="4">
        <v>46373.0</v>
      </c>
      <c r="C167" s="4" t="str">
        <f t="shared" si="1"/>
        <v>December</v>
      </c>
      <c r="D167" s="3" t="s">
        <v>14</v>
      </c>
      <c r="E167" s="3" t="s">
        <v>15</v>
      </c>
      <c r="F167" s="3" t="s">
        <v>16</v>
      </c>
      <c r="G167" s="3" t="str">
        <f>VLOOKUP(F167, 'KODE PESAWAT'!$A$2:$C$42, 3, FALSE)</f>
        <v>Thai Airways Group (Associate)</v>
      </c>
      <c r="H167" s="10">
        <v>770000.0</v>
      </c>
      <c r="I167" s="10">
        <v>1925000.0</v>
      </c>
      <c r="J167" s="10">
        <f t="shared" si="2"/>
        <v>-1155000</v>
      </c>
      <c r="K167" s="11">
        <f t="shared" si="3"/>
        <v>-1.5</v>
      </c>
      <c r="L167" s="3" t="str">
        <f t="shared" si="4"/>
        <v>Over Buffer</v>
      </c>
      <c r="M167" s="10">
        <f t="shared" si="5"/>
        <v>-770000</v>
      </c>
      <c r="N167" s="3" t="str">
        <f t="shared" si="6"/>
        <v>Refund</v>
      </c>
      <c r="O167" s="3" t="str">
        <f t="shared" si="7"/>
        <v>N/A</v>
      </c>
      <c r="P167" s="3">
        <f t="shared" si="8"/>
        <v>0</v>
      </c>
      <c r="Q167" s="3">
        <f t="shared" si="9"/>
        <v>0</v>
      </c>
      <c r="R167" s="12">
        <f t="shared" si="10"/>
        <v>1</v>
      </c>
    </row>
    <row r="168">
      <c r="A168" s="3" t="s">
        <v>202</v>
      </c>
      <c r="B168" s="4">
        <v>46302.0</v>
      </c>
      <c r="C168" s="4" t="str">
        <f t="shared" si="1"/>
        <v>October</v>
      </c>
      <c r="D168" s="3" t="s">
        <v>30</v>
      </c>
      <c r="E168" s="3" t="s">
        <v>15</v>
      </c>
      <c r="F168" s="3" t="s">
        <v>136</v>
      </c>
      <c r="G168" s="3" t="str">
        <f>VLOOKUP(F168, 'KODE PESAWAT'!$A$2:$C$42, 3, FALSE)</f>
        <v>AirAsia Group</v>
      </c>
      <c r="H168" s="10">
        <v>1779000.0</v>
      </c>
      <c r="I168" s="10">
        <v>1690050.0</v>
      </c>
      <c r="J168" s="10">
        <f t="shared" si="2"/>
        <v>88950</v>
      </c>
      <c r="K168" s="11">
        <f t="shared" si="3"/>
        <v>0.05</v>
      </c>
      <c r="L168" s="3" t="str">
        <f t="shared" si="4"/>
        <v>Normal</v>
      </c>
      <c r="M168" s="10">
        <f t="shared" si="5"/>
        <v>-88950</v>
      </c>
      <c r="N168" s="3" t="str">
        <f t="shared" si="6"/>
        <v>Issued</v>
      </c>
      <c r="O168" s="3" t="str">
        <f t="shared" si="7"/>
        <v>PROFIT</v>
      </c>
      <c r="P168" s="3">
        <f t="shared" si="8"/>
        <v>1</v>
      </c>
      <c r="Q168" s="3">
        <f t="shared" si="9"/>
        <v>1</v>
      </c>
      <c r="R168" s="12">
        <f t="shared" si="10"/>
        <v>0</v>
      </c>
    </row>
    <row r="169">
      <c r="A169" s="3" t="s">
        <v>203</v>
      </c>
      <c r="B169" s="4">
        <v>46266.0</v>
      </c>
      <c r="C169" s="4" t="str">
        <f t="shared" si="1"/>
        <v>September</v>
      </c>
      <c r="D169" s="3" t="s">
        <v>10</v>
      </c>
      <c r="E169" s="3" t="s">
        <v>11</v>
      </c>
      <c r="F169" s="3" t="s">
        <v>12</v>
      </c>
      <c r="G169" s="3" t="str">
        <f>VLOOKUP(F169, 'KODE PESAWAT'!$A$2:$C$42, 3, FALSE)</f>
        <v>AirAsia Group</v>
      </c>
      <c r="H169" s="10">
        <v>1585000.0</v>
      </c>
      <c r="I169" s="10">
        <v>1822749.9999999998</v>
      </c>
      <c r="J169" s="10">
        <f t="shared" si="2"/>
        <v>-237750</v>
      </c>
      <c r="K169" s="11">
        <f t="shared" si="3"/>
        <v>-0.15</v>
      </c>
      <c r="L169" s="3" t="str">
        <f t="shared" si="4"/>
        <v>Fare Increase</v>
      </c>
      <c r="M169" s="10">
        <f t="shared" si="5"/>
        <v>237750</v>
      </c>
      <c r="N169" s="3" t="str">
        <f t="shared" si="6"/>
        <v>Issued</v>
      </c>
      <c r="O169" s="3" t="str">
        <f t="shared" si="7"/>
        <v>LOSS</v>
      </c>
      <c r="P169" s="3">
        <f t="shared" si="8"/>
        <v>1</v>
      </c>
      <c r="Q169" s="3">
        <f t="shared" si="9"/>
        <v>0</v>
      </c>
      <c r="R169" s="12">
        <f t="shared" si="10"/>
        <v>0</v>
      </c>
    </row>
    <row r="170">
      <c r="A170" s="3" t="s">
        <v>204</v>
      </c>
      <c r="B170" s="4">
        <v>46259.0</v>
      </c>
      <c r="C170" s="4" t="str">
        <f t="shared" si="1"/>
        <v>August</v>
      </c>
      <c r="D170" s="3" t="s">
        <v>25</v>
      </c>
      <c r="E170" s="3" t="s">
        <v>15</v>
      </c>
      <c r="F170" s="3" t="s">
        <v>42</v>
      </c>
      <c r="G170" s="3" t="str">
        <f>VLOOKUP(F170, 'KODE PESAWAT'!$A$2:$C$42, 3, FALSE)</f>
        <v>Vietnam Airlines Group</v>
      </c>
      <c r="H170" s="10">
        <v>9992000.0</v>
      </c>
      <c r="I170" s="10">
        <v>1.14908E7</v>
      </c>
      <c r="J170" s="10">
        <f t="shared" si="2"/>
        <v>-1498800</v>
      </c>
      <c r="K170" s="11">
        <f t="shared" si="3"/>
        <v>-0.15</v>
      </c>
      <c r="L170" s="3" t="str">
        <f t="shared" si="4"/>
        <v>Fare Increase</v>
      </c>
      <c r="M170" s="10">
        <f t="shared" si="5"/>
        <v>1498800</v>
      </c>
      <c r="N170" s="3" t="str">
        <f t="shared" si="6"/>
        <v>Issued</v>
      </c>
      <c r="O170" s="3" t="str">
        <f t="shared" si="7"/>
        <v>LOSS</v>
      </c>
      <c r="P170" s="3">
        <f t="shared" si="8"/>
        <v>1</v>
      </c>
      <c r="Q170" s="3">
        <f t="shared" si="9"/>
        <v>0</v>
      </c>
      <c r="R170" s="12">
        <f t="shared" si="10"/>
        <v>0</v>
      </c>
    </row>
    <row r="171">
      <c r="A171" s="3" t="s">
        <v>205</v>
      </c>
      <c r="B171" s="4">
        <v>46084.0</v>
      </c>
      <c r="C171" s="4" t="str">
        <f t="shared" si="1"/>
        <v>March</v>
      </c>
      <c r="D171" s="3" t="s">
        <v>30</v>
      </c>
      <c r="E171" s="3" t="s">
        <v>15</v>
      </c>
      <c r="F171" s="3" t="s">
        <v>19</v>
      </c>
      <c r="G171" s="3" t="str">
        <f>VLOOKUP(F171, 'KODE PESAWAT'!$A$2:$C$42, 3, FALSE)</f>
        <v>Lion Air Group</v>
      </c>
      <c r="H171" s="10">
        <v>1201000.0</v>
      </c>
      <c r="I171" s="10">
        <v>1140950.0</v>
      </c>
      <c r="J171" s="10">
        <f t="shared" si="2"/>
        <v>60050</v>
      </c>
      <c r="K171" s="11">
        <f t="shared" si="3"/>
        <v>0.05</v>
      </c>
      <c r="L171" s="3" t="str">
        <f t="shared" si="4"/>
        <v>Normal</v>
      </c>
      <c r="M171" s="10">
        <f t="shared" si="5"/>
        <v>-60050</v>
      </c>
      <c r="N171" s="3" t="str">
        <f t="shared" si="6"/>
        <v>Issued</v>
      </c>
      <c r="O171" s="3" t="str">
        <f t="shared" si="7"/>
        <v>PROFIT</v>
      </c>
      <c r="P171" s="3">
        <f t="shared" si="8"/>
        <v>1</v>
      </c>
      <c r="Q171" s="3">
        <f t="shared" si="9"/>
        <v>1</v>
      </c>
      <c r="R171" s="12">
        <f t="shared" si="10"/>
        <v>0</v>
      </c>
    </row>
    <row r="172">
      <c r="A172" s="3" t="s">
        <v>206</v>
      </c>
      <c r="B172" s="4">
        <v>46348.0</v>
      </c>
      <c r="C172" s="4" t="str">
        <f t="shared" si="1"/>
        <v>November</v>
      </c>
      <c r="D172" s="3" t="s">
        <v>14</v>
      </c>
      <c r="E172" s="3" t="s">
        <v>15</v>
      </c>
      <c r="F172" s="3" t="s">
        <v>37</v>
      </c>
      <c r="G172" s="3" t="str">
        <f>VLOOKUP(F172, 'KODE PESAWAT'!$A$2:$C$42, 3, FALSE)</f>
        <v>Lion Air Group</v>
      </c>
      <c r="H172" s="10">
        <v>537000.0</v>
      </c>
      <c r="I172" s="10">
        <v>510150.0</v>
      </c>
      <c r="J172" s="10">
        <f t="shared" si="2"/>
        <v>26850</v>
      </c>
      <c r="K172" s="11">
        <f t="shared" si="3"/>
        <v>0.05</v>
      </c>
      <c r="L172" s="3" t="str">
        <f t="shared" si="4"/>
        <v>Normal</v>
      </c>
      <c r="M172" s="10">
        <f t="shared" si="5"/>
        <v>-26850</v>
      </c>
      <c r="N172" s="3" t="str">
        <f t="shared" si="6"/>
        <v>Issued</v>
      </c>
      <c r="O172" s="3" t="str">
        <f t="shared" si="7"/>
        <v>PROFIT</v>
      </c>
      <c r="P172" s="3">
        <f t="shared" si="8"/>
        <v>1</v>
      </c>
      <c r="Q172" s="3">
        <f t="shared" si="9"/>
        <v>1</v>
      </c>
      <c r="R172" s="12">
        <f t="shared" si="10"/>
        <v>0</v>
      </c>
    </row>
    <row r="173">
      <c r="A173" s="3" t="s">
        <v>207</v>
      </c>
      <c r="B173" s="4">
        <v>46117.0</v>
      </c>
      <c r="C173" s="4" t="str">
        <f t="shared" si="1"/>
        <v>April</v>
      </c>
      <c r="D173" s="3" t="s">
        <v>30</v>
      </c>
      <c r="E173" s="3" t="s">
        <v>15</v>
      </c>
      <c r="F173" s="3" t="s">
        <v>42</v>
      </c>
      <c r="G173" s="3" t="str">
        <f>VLOOKUP(F173, 'KODE PESAWAT'!$A$2:$C$42, 3, FALSE)</f>
        <v>Vietnam Airlines Group</v>
      </c>
      <c r="H173" s="10">
        <v>1771000.0</v>
      </c>
      <c r="I173" s="10">
        <v>4427500.0</v>
      </c>
      <c r="J173" s="10">
        <f t="shared" si="2"/>
        <v>-2656500</v>
      </c>
      <c r="K173" s="11">
        <f t="shared" si="3"/>
        <v>-1.5</v>
      </c>
      <c r="L173" s="3" t="str">
        <f t="shared" si="4"/>
        <v>Over Buffer</v>
      </c>
      <c r="M173" s="10">
        <f t="shared" si="5"/>
        <v>-1771000</v>
      </c>
      <c r="N173" s="3" t="str">
        <f t="shared" si="6"/>
        <v>Refund</v>
      </c>
      <c r="O173" s="3" t="str">
        <f t="shared" si="7"/>
        <v>N/A</v>
      </c>
      <c r="P173" s="3">
        <f t="shared" si="8"/>
        <v>0</v>
      </c>
      <c r="Q173" s="3">
        <f t="shared" si="9"/>
        <v>0</v>
      </c>
      <c r="R173" s="12">
        <f t="shared" si="10"/>
        <v>1</v>
      </c>
    </row>
    <row r="174">
      <c r="A174" s="3" t="s">
        <v>208</v>
      </c>
      <c r="B174" s="4">
        <v>46208.0</v>
      </c>
      <c r="C174" s="4" t="str">
        <f t="shared" si="1"/>
        <v>July</v>
      </c>
      <c r="D174" s="3" t="s">
        <v>23</v>
      </c>
      <c r="E174" s="3" t="s">
        <v>15</v>
      </c>
      <c r="F174" s="3" t="s">
        <v>33</v>
      </c>
      <c r="G174" s="3" t="str">
        <f>VLOOKUP(F174, 'KODE PESAWAT'!$A$2:$C$42, 3, FALSE)</f>
        <v>Garuda Indonesia Group</v>
      </c>
      <c r="H174" s="10">
        <v>3657000.0</v>
      </c>
      <c r="I174" s="10">
        <v>4205550.0</v>
      </c>
      <c r="J174" s="10">
        <f t="shared" si="2"/>
        <v>-548550</v>
      </c>
      <c r="K174" s="11">
        <f t="shared" si="3"/>
        <v>-0.15</v>
      </c>
      <c r="L174" s="3" t="str">
        <f t="shared" si="4"/>
        <v>Fare Increase</v>
      </c>
      <c r="M174" s="10">
        <f t="shared" si="5"/>
        <v>548550</v>
      </c>
      <c r="N174" s="3" t="str">
        <f t="shared" si="6"/>
        <v>Issued</v>
      </c>
      <c r="O174" s="3" t="str">
        <f t="shared" si="7"/>
        <v>LOSS</v>
      </c>
      <c r="P174" s="3">
        <f t="shared" si="8"/>
        <v>1</v>
      </c>
      <c r="Q174" s="3">
        <f t="shared" si="9"/>
        <v>0</v>
      </c>
      <c r="R174" s="12">
        <f t="shared" si="10"/>
        <v>0</v>
      </c>
    </row>
    <row r="175">
      <c r="A175" s="3" t="s">
        <v>209</v>
      </c>
      <c r="B175" s="4">
        <v>46149.0</v>
      </c>
      <c r="C175" s="4" t="str">
        <f t="shared" si="1"/>
        <v>May</v>
      </c>
      <c r="D175" s="3" t="s">
        <v>30</v>
      </c>
      <c r="E175" s="3" t="s">
        <v>15</v>
      </c>
      <c r="F175" s="3" t="s">
        <v>19</v>
      </c>
      <c r="G175" s="3" t="str">
        <f>VLOOKUP(F175, 'KODE PESAWAT'!$A$2:$C$42, 3, FALSE)</f>
        <v>Lion Air Group</v>
      </c>
      <c r="H175" s="10">
        <v>900000.0</v>
      </c>
      <c r="I175" s="10">
        <v>1034999.9999999999</v>
      </c>
      <c r="J175" s="10">
        <f t="shared" si="2"/>
        <v>-135000</v>
      </c>
      <c r="K175" s="11">
        <f t="shared" si="3"/>
        <v>-0.15</v>
      </c>
      <c r="L175" s="3" t="str">
        <f t="shared" si="4"/>
        <v>Fare Increase</v>
      </c>
      <c r="M175" s="10">
        <f t="shared" si="5"/>
        <v>135000</v>
      </c>
      <c r="N175" s="3" t="str">
        <f t="shared" si="6"/>
        <v>Issued</v>
      </c>
      <c r="O175" s="3" t="str">
        <f t="shared" si="7"/>
        <v>LOSS</v>
      </c>
      <c r="P175" s="3">
        <f t="shared" si="8"/>
        <v>1</v>
      </c>
      <c r="Q175" s="3">
        <f t="shared" si="9"/>
        <v>0</v>
      </c>
      <c r="R175" s="12">
        <f t="shared" si="10"/>
        <v>0</v>
      </c>
    </row>
    <row r="176">
      <c r="A176" s="3" t="s">
        <v>210</v>
      </c>
      <c r="B176" s="4">
        <v>46254.0</v>
      </c>
      <c r="C176" s="4" t="str">
        <f t="shared" si="1"/>
        <v>August</v>
      </c>
      <c r="D176" s="3" t="s">
        <v>25</v>
      </c>
      <c r="E176" s="3" t="s">
        <v>15</v>
      </c>
      <c r="F176" s="3" t="s">
        <v>26</v>
      </c>
      <c r="G176" s="3" t="str">
        <f>VLOOKUP(F176, 'KODE PESAWAT'!$A$2:$C$42, 3, FALSE)</f>
        <v>VietJet Group</v>
      </c>
      <c r="H176" s="10">
        <v>1.4719E7</v>
      </c>
      <c r="I176" s="10">
        <v>3.67975E7</v>
      </c>
      <c r="J176" s="10">
        <f t="shared" si="2"/>
        <v>-22078500</v>
      </c>
      <c r="K176" s="11">
        <f t="shared" si="3"/>
        <v>-1.5</v>
      </c>
      <c r="L176" s="3" t="str">
        <f t="shared" si="4"/>
        <v>Over Buffer</v>
      </c>
      <c r="M176" s="10">
        <f t="shared" si="5"/>
        <v>-14719000</v>
      </c>
      <c r="N176" s="3" t="str">
        <f t="shared" si="6"/>
        <v>Refund</v>
      </c>
      <c r="O176" s="3" t="str">
        <f t="shared" si="7"/>
        <v>N/A</v>
      </c>
      <c r="P176" s="3">
        <f t="shared" si="8"/>
        <v>0</v>
      </c>
      <c r="Q176" s="3">
        <f t="shared" si="9"/>
        <v>0</v>
      </c>
      <c r="R176" s="12">
        <f t="shared" si="10"/>
        <v>1</v>
      </c>
    </row>
    <row r="177">
      <c r="A177" s="3" t="s">
        <v>211</v>
      </c>
      <c r="B177" s="4">
        <v>46259.0</v>
      </c>
      <c r="C177" s="4" t="str">
        <f t="shared" si="1"/>
        <v>August</v>
      </c>
      <c r="D177" s="3" t="s">
        <v>25</v>
      </c>
      <c r="E177" s="3" t="s">
        <v>15</v>
      </c>
      <c r="F177" s="3" t="s">
        <v>42</v>
      </c>
      <c r="G177" s="3" t="str">
        <f>VLOOKUP(F177, 'KODE PESAWAT'!$A$2:$C$42, 3, FALSE)</f>
        <v>Vietnam Airlines Group</v>
      </c>
      <c r="H177" s="10">
        <v>7483000.0</v>
      </c>
      <c r="I177" s="10">
        <v>1.04762E7</v>
      </c>
      <c r="J177" s="10">
        <f t="shared" si="2"/>
        <v>-2993200</v>
      </c>
      <c r="K177" s="11">
        <f t="shared" si="3"/>
        <v>-0.4</v>
      </c>
      <c r="L177" s="3" t="str">
        <f t="shared" si="4"/>
        <v>Fare Increase</v>
      </c>
      <c r="M177" s="10">
        <f t="shared" si="5"/>
        <v>2993200</v>
      </c>
      <c r="N177" s="3" t="str">
        <f t="shared" si="6"/>
        <v>Issued</v>
      </c>
      <c r="O177" s="3" t="str">
        <f t="shared" si="7"/>
        <v>LOSS</v>
      </c>
      <c r="P177" s="3">
        <f t="shared" si="8"/>
        <v>1</v>
      </c>
      <c r="Q177" s="3">
        <f t="shared" si="9"/>
        <v>0</v>
      </c>
      <c r="R177" s="12">
        <f t="shared" si="10"/>
        <v>0</v>
      </c>
    </row>
    <row r="178">
      <c r="A178" s="3" t="s">
        <v>212</v>
      </c>
      <c r="B178" s="4">
        <v>46195.0</v>
      </c>
      <c r="C178" s="4" t="str">
        <f t="shared" si="1"/>
        <v>June</v>
      </c>
      <c r="D178" s="3" t="s">
        <v>10</v>
      </c>
      <c r="E178" s="3" t="s">
        <v>11</v>
      </c>
      <c r="F178" s="3" t="s">
        <v>35</v>
      </c>
      <c r="G178" s="3" t="str">
        <f>VLOOKUP(F178, 'KODE PESAWAT'!$A$2:$C$42, 3, FALSE)</f>
        <v>Lion Air Group</v>
      </c>
      <c r="H178" s="10">
        <v>1582000.0</v>
      </c>
      <c r="I178" s="10">
        <v>2214800.0</v>
      </c>
      <c r="J178" s="10">
        <f t="shared" si="2"/>
        <v>-632800</v>
      </c>
      <c r="K178" s="11">
        <f t="shared" si="3"/>
        <v>-0.4</v>
      </c>
      <c r="L178" s="3" t="str">
        <f t="shared" si="4"/>
        <v>Fare Increase</v>
      </c>
      <c r="M178" s="10">
        <f t="shared" si="5"/>
        <v>632800</v>
      </c>
      <c r="N178" s="3" t="str">
        <f t="shared" si="6"/>
        <v>Issued</v>
      </c>
      <c r="O178" s="3" t="str">
        <f t="shared" si="7"/>
        <v>LOSS</v>
      </c>
      <c r="P178" s="3">
        <f t="shared" si="8"/>
        <v>1</v>
      </c>
      <c r="Q178" s="3">
        <f t="shared" si="9"/>
        <v>0</v>
      </c>
      <c r="R178" s="12">
        <f t="shared" si="10"/>
        <v>0</v>
      </c>
    </row>
    <row r="179">
      <c r="A179" s="3" t="s">
        <v>213</v>
      </c>
      <c r="B179" s="4">
        <v>46273.0</v>
      </c>
      <c r="C179" s="4" t="str">
        <f t="shared" si="1"/>
        <v>September</v>
      </c>
      <c r="D179" s="3" t="s">
        <v>23</v>
      </c>
      <c r="E179" s="3" t="s">
        <v>15</v>
      </c>
      <c r="F179" s="3" t="s">
        <v>31</v>
      </c>
      <c r="G179" s="3" t="str">
        <f>VLOOKUP(F179, 'KODE PESAWAT'!$A$2:$C$42, 3, FALSE)</f>
        <v>Garuda Indonesia Group</v>
      </c>
      <c r="H179" s="10">
        <v>838000.0</v>
      </c>
      <c r="I179" s="10">
        <v>796100.0</v>
      </c>
      <c r="J179" s="10">
        <f t="shared" si="2"/>
        <v>41900</v>
      </c>
      <c r="K179" s="11">
        <f t="shared" si="3"/>
        <v>0.05</v>
      </c>
      <c r="L179" s="3" t="str">
        <f t="shared" si="4"/>
        <v>Normal</v>
      </c>
      <c r="M179" s="10">
        <f t="shared" si="5"/>
        <v>-41900</v>
      </c>
      <c r="N179" s="3" t="str">
        <f t="shared" si="6"/>
        <v>Issued</v>
      </c>
      <c r="O179" s="3" t="str">
        <f t="shared" si="7"/>
        <v>PROFIT</v>
      </c>
      <c r="P179" s="3">
        <f t="shared" si="8"/>
        <v>1</v>
      </c>
      <c r="Q179" s="3">
        <f t="shared" si="9"/>
        <v>1</v>
      </c>
      <c r="R179" s="12">
        <f t="shared" si="10"/>
        <v>0</v>
      </c>
    </row>
    <row r="180">
      <c r="A180" s="3" t="s">
        <v>214</v>
      </c>
      <c r="B180" s="4">
        <v>46079.0</v>
      </c>
      <c r="C180" s="4" t="str">
        <f t="shared" si="1"/>
        <v>February</v>
      </c>
      <c r="D180" s="3" t="s">
        <v>10</v>
      </c>
      <c r="E180" s="3" t="s">
        <v>11</v>
      </c>
      <c r="F180" s="3" t="s">
        <v>21</v>
      </c>
      <c r="G180" s="3" t="str">
        <f>VLOOKUP(F180, 'KODE PESAWAT'!$A$2:$C$42, 3, FALSE)</f>
        <v>Singapore Airlines Group</v>
      </c>
      <c r="H180" s="10">
        <v>2178000.0</v>
      </c>
      <c r="I180" s="10">
        <v>2069100.0</v>
      </c>
      <c r="J180" s="10">
        <f t="shared" si="2"/>
        <v>108900</v>
      </c>
      <c r="K180" s="11">
        <f t="shared" si="3"/>
        <v>0.05</v>
      </c>
      <c r="L180" s="3" t="str">
        <f t="shared" si="4"/>
        <v>Normal</v>
      </c>
      <c r="M180" s="10">
        <f t="shared" si="5"/>
        <v>-108900</v>
      </c>
      <c r="N180" s="3" t="str">
        <f t="shared" si="6"/>
        <v>Issued</v>
      </c>
      <c r="O180" s="3" t="str">
        <f t="shared" si="7"/>
        <v>PROFIT</v>
      </c>
      <c r="P180" s="3">
        <f t="shared" si="8"/>
        <v>1</v>
      </c>
      <c r="Q180" s="3">
        <f t="shared" si="9"/>
        <v>1</v>
      </c>
      <c r="R180" s="12">
        <f t="shared" si="10"/>
        <v>0</v>
      </c>
    </row>
    <row r="181">
      <c r="A181" s="3" t="s">
        <v>215</v>
      </c>
      <c r="B181" s="4">
        <v>46285.0</v>
      </c>
      <c r="C181" s="4" t="str">
        <f t="shared" si="1"/>
        <v>September</v>
      </c>
      <c r="D181" s="3" t="s">
        <v>10</v>
      </c>
      <c r="E181" s="3" t="s">
        <v>11</v>
      </c>
      <c r="F181" s="3" t="s">
        <v>12</v>
      </c>
      <c r="G181" s="3" t="str">
        <f>VLOOKUP(F181, 'KODE PESAWAT'!$A$2:$C$42, 3, FALSE)</f>
        <v>AirAsia Group</v>
      </c>
      <c r="H181" s="10">
        <v>1420000.0</v>
      </c>
      <c r="I181" s="10">
        <v>1632999.9999999998</v>
      </c>
      <c r="J181" s="10">
        <f t="shared" si="2"/>
        <v>-213000</v>
      </c>
      <c r="K181" s="11">
        <f t="shared" si="3"/>
        <v>-0.15</v>
      </c>
      <c r="L181" s="3" t="str">
        <f t="shared" si="4"/>
        <v>Fare Increase</v>
      </c>
      <c r="M181" s="10">
        <f t="shared" si="5"/>
        <v>213000</v>
      </c>
      <c r="N181" s="3" t="str">
        <f t="shared" si="6"/>
        <v>Issued</v>
      </c>
      <c r="O181" s="3" t="str">
        <f t="shared" si="7"/>
        <v>LOSS</v>
      </c>
      <c r="P181" s="3">
        <f t="shared" si="8"/>
        <v>1</v>
      </c>
      <c r="Q181" s="3">
        <f t="shared" si="9"/>
        <v>0</v>
      </c>
      <c r="R181" s="12">
        <f t="shared" si="10"/>
        <v>0</v>
      </c>
    </row>
    <row r="182">
      <c r="A182" s="3" t="s">
        <v>216</v>
      </c>
      <c r="B182" s="4">
        <v>46221.0</v>
      </c>
      <c r="C182" s="4" t="str">
        <f t="shared" si="1"/>
        <v>July</v>
      </c>
      <c r="D182" s="3" t="s">
        <v>18</v>
      </c>
      <c r="E182" s="3" t="s">
        <v>11</v>
      </c>
      <c r="F182" s="3" t="s">
        <v>63</v>
      </c>
      <c r="G182" s="3" t="str">
        <f>VLOOKUP(F182, 'KODE PESAWAT'!$A$2:$C$42, 3, FALSE)</f>
        <v>Lion Air Group</v>
      </c>
      <c r="H182" s="10">
        <v>1286000.0</v>
      </c>
      <c r="I182" s="10">
        <v>3215000.0</v>
      </c>
      <c r="J182" s="10">
        <f t="shared" si="2"/>
        <v>-1929000</v>
      </c>
      <c r="K182" s="11">
        <f t="shared" si="3"/>
        <v>-1.5</v>
      </c>
      <c r="L182" s="3" t="str">
        <f t="shared" si="4"/>
        <v>Over Buffer</v>
      </c>
      <c r="M182" s="10">
        <f t="shared" si="5"/>
        <v>-1286000</v>
      </c>
      <c r="N182" s="3" t="str">
        <f t="shared" si="6"/>
        <v>Refund</v>
      </c>
      <c r="O182" s="3" t="str">
        <f t="shared" si="7"/>
        <v>N/A</v>
      </c>
      <c r="P182" s="3">
        <f t="shared" si="8"/>
        <v>0</v>
      </c>
      <c r="Q182" s="3">
        <f t="shared" si="9"/>
        <v>0</v>
      </c>
      <c r="R182" s="12">
        <f t="shared" si="10"/>
        <v>1</v>
      </c>
    </row>
    <row r="183">
      <c r="A183" s="3" t="s">
        <v>217</v>
      </c>
      <c r="B183" s="4">
        <v>46074.0</v>
      </c>
      <c r="C183" s="4" t="str">
        <f t="shared" si="1"/>
        <v>February</v>
      </c>
      <c r="D183" s="3" t="s">
        <v>14</v>
      </c>
      <c r="E183" s="3" t="s">
        <v>15</v>
      </c>
      <c r="F183" s="3" t="s">
        <v>37</v>
      </c>
      <c r="G183" s="3" t="str">
        <f>VLOOKUP(F183, 'KODE PESAWAT'!$A$2:$C$42, 3, FALSE)</f>
        <v>Lion Air Group</v>
      </c>
      <c r="H183" s="10">
        <v>3791000.0</v>
      </c>
      <c r="I183" s="10">
        <v>5307400.0</v>
      </c>
      <c r="J183" s="10">
        <f t="shared" si="2"/>
        <v>-1516400</v>
      </c>
      <c r="K183" s="11">
        <f t="shared" si="3"/>
        <v>-0.4</v>
      </c>
      <c r="L183" s="3" t="str">
        <f t="shared" si="4"/>
        <v>Fare Increase</v>
      </c>
      <c r="M183" s="10">
        <f t="shared" si="5"/>
        <v>1516400</v>
      </c>
      <c r="N183" s="3" t="str">
        <f t="shared" si="6"/>
        <v>Issued</v>
      </c>
      <c r="O183" s="3" t="str">
        <f t="shared" si="7"/>
        <v>LOSS</v>
      </c>
      <c r="P183" s="3">
        <f t="shared" si="8"/>
        <v>1</v>
      </c>
      <c r="Q183" s="3">
        <f t="shared" si="9"/>
        <v>0</v>
      </c>
      <c r="R183" s="12">
        <f t="shared" si="10"/>
        <v>0</v>
      </c>
    </row>
    <row r="184">
      <c r="A184" s="3" t="s">
        <v>218</v>
      </c>
      <c r="B184" s="4">
        <v>46241.0</v>
      </c>
      <c r="C184" s="4" t="str">
        <f t="shared" si="1"/>
        <v>August</v>
      </c>
      <c r="D184" s="3" t="s">
        <v>10</v>
      </c>
      <c r="E184" s="3" t="s">
        <v>11</v>
      </c>
      <c r="F184" s="3" t="s">
        <v>12</v>
      </c>
      <c r="G184" s="3" t="str">
        <f>VLOOKUP(F184, 'KODE PESAWAT'!$A$2:$C$42, 3, FALSE)</f>
        <v>AirAsia Group</v>
      </c>
      <c r="H184" s="10">
        <v>1403000.0</v>
      </c>
      <c r="I184" s="10">
        <v>1613449.9999999998</v>
      </c>
      <c r="J184" s="10">
        <f t="shared" si="2"/>
        <v>-210450</v>
      </c>
      <c r="K184" s="11">
        <f t="shared" si="3"/>
        <v>-0.15</v>
      </c>
      <c r="L184" s="3" t="str">
        <f t="shared" si="4"/>
        <v>Fare Increase</v>
      </c>
      <c r="M184" s="10">
        <f t="shared" si="5"/>
        <v>210450</v>
      </c>
      <c r="N184" s="3" t="str">
        <f t="shared" si="6"/>
        <v>Issued</v>
      </c>
      <c r="O184" s="3" t="str">
        <f t="shared" si="7"/>
        <v>LOSS</v>
      </c>
      <c r="P184" s="3">
        <f t="shared" si="8"/>
        <v>1</v>
      </c>
      <c r="Q184" s="3">
        <f t="shared" si="9"/>
        <v>0</v>
      </c>
      <c r="R184" s="12">
        <f t="shared" si="10"/>
        <v>0</v>
      </c>
    </row>
    <row r="185">
      <c r="A185" s="3" t="s">
        <v>219</v>
      </c>
      <c r="B185" s="4">
        <v>46117.0</v>
      </c>
      <c r="C185" s="4" t="str">
        <f t="shared" si="1"/>
        <v>April</v>
      </c>
      <c r="D185" s="3" t="s">
        <v>14</v>
      </c>
      <c r="E185" s="3" t="s">
        <v>15</v>
      </c>
      <c r="F185" s="3" t="s">
        <v>63</v>
      </c>
      <c r="G185" s="3" t="str">
        <f>VLOOKUP(F185, 'KODE PESAWAT'!$A$2:$C$42, 3, FALSE)</f>
        <v>Lion Air Group</v>
      </c>
      <c r="H185" s="10">
        <v>1394000.0</v>
      </c>
      <c r="I185" s="10">
        <v>3485000.0</v>
      </c>
      <c r="J185" s="10">
        <f t="shared" si="2"/>
        <v>-2091000</v>
      </c>
      <c r="K185" s="11">
        <f t="shared" si="3"/>
        <v>-1.5</v>
      </c>
      <c r="L185" s="3" t="str">
        <f t="shared" si="4"/>
        <v>Over Buffer</v>
      </c>
      <c r="M185" s="10">
        <f t="shared" si="5"/>
        <v>-1394000</v>
      </c>
      <c r="N185" s="3" t="str">
        <f t="shared" si="6"/>
        <v>Refund</v>
      </c>
      <c r="O185" s="3" t="str">
        <f t="shared" si="7"/>
        <v>N/A</v>
      </c>
      <c r="P185" s="3">
        <f t="shared" si="8"/>
        <v>0</v>
      </c>
      <c r="Q185" s="3">
        <f t="shared" si="9"/>
        <v>0</v>
      </c>
      <c r="R185" s="12">
        <f t="shared" si="10"/>
        <v>1</v>
      </c>
    </row>
    <row r="186">
      <c r="A186" s="3" t="s">
        <v>220</v>
      </c>
      <c r="B186" s="4">
        <v>46212.0</v>
      </c>
      <c r="C186" s="4" t="str">
        <f t="shared" si="1"/>
        <v>July</v>
      </c>
      <c r="D186" s="3" t="s">
        <v>23</v>
      </c>
      <c r="E186" s="3" t="s">
        <v>15</v>
      </c>
      <c r="F186" s="3" t="s">
        <v>19</v>
      </c>
      <c r="G186" s="3" t="str">
        <f>VLOOKUP(F186, 'KODE PESAWAT'!$A$2:$C$42, 3, FALSE)</f>
        <v>Lion Air Group</v>
      </c>
      <c r="H186" s="10">
        <v>1250000.0</v>
      </c>
      <c r="I186" s="10">
        <v>1750000.0</v>
      </c>
      <c r="J186" s="10">
        <f t="shared" si="2"/>
        <v>-500000</v>
      </c>
      <c r="K186" s="11">
        <f t="shared" si="3"/>
        <v>-0.4</v>
      </c>
      <c r="L186" s="3" t="str">
        <f t="shared" si="4"/>
        <v>Fare Increase</v>
      </c>
      <c r="M186" s="10">
        <f t="shared" si="5"/>
        <v>500000</v>
      </c>
      <c r="N186" s="3" t="str">
        <f t="shared" si="6"/>
        <v>Issued</v>
      </c>
      <c r="O186" s="3" t="str">
        <f t="shared" si="7"/>
        <v>LOSS</v>
      </c>
      <c r="P186" s="3">
        <f t="shared" si="8"/>
        <v>1</v>
      </c>
      <c r="Q186" s="3">
        <f t="shared" si="9"/>
        <v>0</v>
      </c>
      <c r="R186" s="12">
        <f t="shared" si="10"/>
        <v>0</v>
      </c>
    </row>
    <row r="187">
      <c r="A187" s="3" t="s">
        <v>221</v>
      </c>
      <c r="B187" s="4">
        <v>46330.0</v>
      </c>
      <c r="C187" s="4" t="str">
        <f t="shared" si="1"/>
        <v>November</v>
      </c>
      <c r="D187" s="3" t="s">
        <v>23</v>
      </c>
      <c r="E187" s="3" t="s">
        <v>15</v>
      </c>
      <c r="F187" s="3" t="s">
        <v>19</v>
      </c>
      <c r="G187" s="3" t="str">
        <f>VLOOKUP(F187, 'KODE PESAWAT'!$A$2:$C$42, 3, FALSE)</f>
        <v>Lion Air Group</v>
      </c>
      <c r="H187" s="10">
        <v>5136000.0</v>
      </c>
      <c r="I187" s="10">
        <v>4879200.0</v>
      </c>
      <c r="J187" s="10">
        <f t="shared" si="2"/>
        <v>256800</v>
      </c>
      <c r="K187" s="11">
        <f t="shared" si="3"/>
        <v>0.05</v>
      </c>
      <c r="L187" s="3" t="str">
        <f t="shared" si="4"/>
        <v>Normal</v>
      </c>
      <c r="M187" s="10">
        <f t="shared" si="5"/>
        <v>-256800</v>
      </c>
      <c r="N187" s="3" t="str">
        <f t="shared" si="6"/>
        <v>Issued</v>
      </c>
      <c r="O187" s="3" t="str">
        <f t="shared" si="7"/>
        <v>PROFIT</v>
      </c>
      <c r="P187" s="3">
        <f t="shared" si="8"/>
        <v>1</v>
      </c>
      <c r="Q187" s="3">
        <f t="shared" si="9"/>
        <v>1</v>
      </c>
      <c r="R187" s="12">
        <f t="shared" si="10"/>
        <v>0</v>
      </c>
    </row>
    <row r="188">
      <c r="A188" s="3" t="s">
        <v>222</v>
      </c>
      <c r="B188" s="4">
        <v>46035.0</v>
      </c>
      <c r="C188" s="4" t="str">
        <f t="shared" si="1"/>
        <v>January</v>
      </c>
      <c r="D188" s="3" t="s">
        <v>10</v>
      </c>
      <c r="E188" s="3" t="s">
        <v>11</v>
      </c>
      <c r="F188" s="3" t="s">
        <v>12</v>
      </c>
      <c r="G188" s="3" t="str">
        <f>VLOOKUP(F188, 'KODE PESAWAT'!$A$2:$C$42, 3, FALSE)</f>
        <v>AirAsia Group</v>
      </c>
      <c r="H188" s="10">
        <v>574000.0</v>
      </c>
      <c r="I188" s="10">
        <v>660100.0</v>
      </c>
      <c r="J188" s="10">
        <f t="shared" si="2"/>
        <v>-86100</v>
      </c>
      <c r="K188" s="11">
        <f t="shared" si="3"/>
        <v>-0.15</v>
      </c>
      <c r="L188" s="3" t="str">
        <f t="shared" si="4"/>
        <v>Fare Increase</v>
      </c>
      <c r="M188" s="10">
        <f t="shared" si="5"/>
        <v>86100</v>
      </c>
      <c r="N188" s="3" t="str">
        <f t="shared" si="6"/>
        <v>Issued</v>
      </c>
      <c r="O188" s="3" t="str">
        <f t="shared" si="7"/>
        <v>LOSS</v>
      </c>
      <c r="P188" s="3">
        <f t="shared" si="8"/>
        <v>1</v>
      </c>
      <c r="Q188" s="3">
        <f t="shared" si="9"/>
        <v>0</v>
      </c>
      <c r="R188" s="12">
        <f t="shared" si="10"/>
        <v>0</v>
      </c>
    </row>
    <row r="189">
      <c r="A189" s="3" t="s">
        <v>223</v>
      </c>
      <c r="B189" s="4">
        <v>46128.0</v>
      </c>
      <c r="C189" s="4" t="str">
        <f t="shared" si="1"/>
        <v>April</v>
      </c>
      <c r="D189" s="3" t="s">
        <v>25</v>
      </c>
      <c r="E189" s="3" t="s">
        <v>15</v>
      </c>
      <c r="F189" s="3" t="s">
        <v>26</v>
      </c>
      <c r="G189" s="3" t="str">
        <f>VLOOKUP(F189, 'KODE PESAWAT'!$A$2:$C$42, 3, FALSE)</f>
        <v>VietJet Group</v>
      </c>
      <c r="H189" s="10">
        <v>1418000.0</v>
      </c>
      <c r="I189" s="10">
        <v>3545000.0</v>
      </c>
      <c r="J189" s="10">
        <f t="shared" si="2"/>
        <v>-2127000</v>
      </c>
      <c r="K189" s="11">
        <f t="shared" si="3"/>
        <v>-1.5</v>
      </c>
      <c r="L189" s="3" t="str">
        <f t="shared" si="4"/>
        <v>Over Buffer</v>
      </c>
      <c r="M189" s="10">
        <f t="shared" si="5"/>
        <v>-1418000</v>
      </c>
      <c r="N189" s="3" t="str">
        <f t="shared" si="6"/>
        <v>Refund</v>
      </c>
      <c r="O189" s="3" t="str">
        <f t="shared" si="7"/>
        <v>N/A</v>
      </c>
      <c r="P189" s="3">
        <f t="shared" si="8"/>
        <v>0</v>
      </c>
      <c r="Q189" s="3">
        <f t="shared" si="9"/>
        <v>0</v>
      </c>
      <c r="R189" s="12">
        <f t="shared" si="10"/>
        <v>1</v>
      </c>
    </row>
    <row r="190">
      <c r="A190" s="3" t="s">
        <v>224</v>
      </c>
      <c r="B190" s="4">
        <v>46089.0</v>
      </c>
      <c r="C190" s="4" t="str">
        <f t="shared" si="1"/>
        <v>March</v>
      </c>
      <c r="D190" s="3" t="s">
        <v>14</v>
      </c>
      <c r="E190" s="3" t="s">
        <v>15</v>
      </c>
      <c r="F190" s="3" t="s">
        <v>63</v>
      </c>
      <c r="G190" s="3" t="str">
        <f>VLOOKUP(F190, 'KODE PESAWAT'!$A$2:$C$42, 3, FALSE)</f>
        <v>Lion Air Group</v>
      </c>
      <c r="H190" s="10">
        <v>1.2459E7</v>
      </c>
      <c r="I190" s="10">
        <v>1.74426E7</v>
      </c>
      <c r="J190" s="10">
        <f t="shared" si="2"/>
        <v>-4983600</v>
      </c>
      <c r="K190" s="11">
        <f t="shared" si="3"/>
        <v>-0.4</v>
      </c>
      <c r="L190" s="3" t="str">
        <f t="shared" si="4"/>
        <v>Fare Increase</v>
      </c>
      <c r="M190" s="10">
        <f t="shared" si="5"/>
        <v>4983600</v>
      </c>
      <c r="N190" s="3" t="str">
        <f t="shared" si="6"/>
        <v>Issued</v>
      </c>
      <c r="O190" s="3" t="str">
        <f t="shared" si="7"/>
        <v>LOSS</v>
      </c>
      <c r="P190" s="3">
        <f t="shared" si="8"/>
        <v>1</v>
      </c>
      <c r="Q190" s="3">
        <f t="shared" si="9"/>
        <v>0</v>
      </c>
      <c r="R190" s="12">
        <f t="shared" si="10"/>
        <v>0</v>
      </c>
    </row>
    <row r="191">
      <c r="A191" s="3" t="s">
        <v>225</v>
      </c>
      <c r="B191" s="4">
        <v>46030.0</v>
      </c>
      <c r="C191" s="4" t="str">
        <f t="shared" si="1"/>
        <v>January</v>
      </c>
      <c r="D191" s="3" t="s">
        <v>10</v>
      </c>
      <c r="E191" s="3" t="s">
        <v>11</v>
      </c>
      <c r="F191" s="3" t="s">
        <v>63</v>
      </c>
      <c r="G191" s="3" t="str">
        <f>VLOOKUP(F191, 'KODE PESAWAT'!$A$2:$C$42, 3, FALSE)</f>
        <v>Lion Air Group</v>
      </c>
      <c r="H191" s="10">
        <v>771000.0</v>
      </c>
      <c r="I191" s="10">
        <v>1927500.0</v>
      </c>
      <c r="J191" s="10">
        <f t="shared" si="2"/>
        <v>-1156500</v>
      </c>
      <c r="K191" s="11">
        <f t="shared" si="3"/>
        <v>-1.5</v>
      </c>
      <c r="L191" s="3" t="str">
        <f t="shared" si="4"/>
        <v>Over Buffer</v>
      </c>
      <c r="M191" s="10">
        <f t="shared" si="5"/>
        <v>-771000</v>
      </c>
      <c r="N191" s="3" t="str">
        <f t="shared" si="6"/>
        <v>Refund</v>
      </c>
      <c r="O191" s="3" t="str">
        <f t="shared" si="7"/>
        <v>N/A</v>
      </c>
      <c r="P191" s="3">
        <f t="shared" si="8"/>
        <v>0</v>
      </c>
      <c r="Q191" s="3">
        <f t="shared" si="9"/>
        <v>0</v>
      </c>
      <c r="R191" s="12">
        <f t="shared" si="10"/>
        <v>1</v>
      </c>
    </row>
    <row r="192">
      <c r="A192" s="3" t="s">
        <v>226</v>
      </c>
      <c r="B192" s="4">
        <v>46083.0</v>
      </c>
      <c r="C192" s="4" t="str">
        <f t="shared" si="1"/>
        <v>March</v>
      </c>
      <c r="D192" s="3" t="s">
        <v>18</v>
      </c>
      <c r="E192" s="3" t="s">
        <v>11</v>
      </c>
      <c r="F192" s="3" t="s">
        <v>21</v>
      </c>
      <c r="G192" s="3" t="str">
        <f>VLOOKUP(F192, 'KODE PESAWAT'!$A$2:$C$42, 3, FALSE)</f>
        <v>Singapore Airlines Group</v>
      </c>
      <c r="H192" s="10">
        <v>1388000.0</v>
      </c>
      <c r="I192" s="10">
        <v>3470000.0</v>
      </c>
      <c r="J192" s="10">
        <f t="shared" si="2"/>
        <v>-2082000</v>
      </c>
      <c r="K192" s="11">
        <f t="shared" si="3"/>
        <v>-1.5</v>
      </c>
      <c r="L192" s="3" t="str">
        <f t="shared" si="4"/>
        <v>Over Buffer</v>
      </c>
      <c r="M192" s="10">
        <f t="shared" si="5"/>
        <v>-1388000</v>
      </c>
      <c r="N192" s="3" t="str">
        <f t="shared" si="6"/>
        <v>Refund</v>
      </c>
      <c r="O192" s="3" t="str">
        <f t="shared" si="7"/>
        <v>N/A</v>
      </c>
      <c r="P192" s="3">
        <f t="shared" si="8"/>
        <v>0</v>
      </c>
      <c r="Q192" s="3">
        <f t="shared" si="9"/>
        <v>0</v>
      </c>
      <c r="R192" s="12">
        <f t="shared" si="10"/>
        <v>1</v>
      </c>
    </row>
    <row r="193">
      <c r="A193" s="3" t="s">
        <v>227</v>
      </c>
      <c r="B193" s="4">
        <v>46050.0</v>
      </c>
      <c r="C193" s="4" t="str">
        <f t="shared" si="1"/>
        <v>January</v>
      </c>
      <c r="D193" s="3" t="s">
        <v>23</v>
      </c>
      <c r="E193" s="3" t="s">
        <v>15</v>
      </c>
      <c r="F193" s="3" t="s">
        <v>33</v>
      </c>
      <c r="G193" s="3" t="str">
        <f>VLOOKUP(F193, 'KODE PESAWAT'!$A$2:$C$42, 3, FALSE)</f>
        <v>Garuda Indonesia Group</v>
      </c>
      <c r="H193" s="10">
        <v>1453000.0</v>
      </c>
      <c r="I193" s="10">
        <v>1380350.0</v>
      </c>
      <c r="J193" s="10">
        <f t="shared" si="2"/>
        <v>72650</v>
      </c>
      <c r="K193" s="11">
        <f t="shared" si="3"/>
        <v>0.05</v>
      </c>
      <c r="L193" s="3" t="str">
        <f t="shared" si="4"/>
        <v>Normal</v>
      </c>
      <c r="M193" s="10">
        <f t="shared" si="5"/>
        <v>-72650</v>
      </c>
      <c r="N193" s="3" t="str">
        <f t="shared" si="6"/>
        <v>Issued</v>
      </c>
      <c r="O193" s="3" t="str">
        <f t="shared" si="7"/>
        <v>PROFIT</v>
      </c>
      <c r="P193" s="3">
        <f t="shared" si="8"/>
        <v>1</v>
      </c>
      <c r="Q193" s="3">
        <f t="shared" si="9"/>
        <v>1</v>
      </c>
      <c r="R193" s="12">
        <f t="shared" si="10"/>
        <v>0</v>
      </c>
    </row>
    <row r="194">
      <c r="A194" s="3" t="s">
        <v>228</v>
      </c>
      <c r="B194" s="4">
        <v>46082.0</v>
      </c>
      <c r="C194" s="4" t="str">
        <f t="shared" si="1"/>
        <v>March</v>
      </c>
      <c r="D194" s="3" t="s">
        <v>30</v>
      </c>
      <c r="E194" s="3" t="s">
        <v>15</v>
      </c>
      <c r="F194" s="3" t="s">
        <v>161</v>
      </c>
      <c r="G194" s="3" t="str">
        <f>VLOOKUP(F194, 'KODE PESAWAT'!$A$2:$C$42, 3, FALSE)</f>
        <v>Lion Air Group</v>
      </c>
      <c r="H194" s="10">
        <v>791000.0</v>
      </c>
      <c r="I194" s="10">
        <v>1977500.0</v>
      </c>
      <c r="J194" s="10">
        <f t="shared" si="2"/>
        <v>-1186500</v>
      </c>
      <c r="K194" s="11">
        <f t="shared" si="3"/>
        <v>-1.5</v>
      </c>
      <c r="L194" s="3" t="str">
        <f t="shared" si="4"/>
        <v>Over Buffer</v>
      </c>
      <c r="M194" s="10">
        <f t="shared" si="5"/>
        <v>-791000</v>
      </c>
      <c r="N194" s="3" t="str">
        <f t="shared" si="6"/>
        <v>Refund</v>
      </c>
      <c r="O194" s="3" t="str">
        <f t="shared" si="7"/>
        <v>N/A</v>
      </c>
      <c r="P194" s="3">
        <f t="shared" si="8"/>
        <v>0</v>
      </c>
      <c r="Q194" s="3">
        <f t="shared" si="9"/>
        <v>0</v>
      </c>
      <c r="R194" s="12">
        <f t="shared" si="10"/>
        <v>1</v>
      </c>
    </row>
    <row r="195">
      <c r="A195" s="3" t="s">
        <v>229</v>
      </c>
      <c r="B195" s="4">
        <v>46162.0</v>
      </c>
      <c r="C195" s="4" t="str">
        <f t="shared" si="1"/>
        <v>May</v>
      </c>
      <c r="D195" s="3" t="s">
        <v>14</v>
      </c>
      <c r="E195" s="3" t="s">
        <v>15</v>
      </c>
      <c r="F195" s="3" t="s">
        <v>16</v>
      </c>
      <c r="G195" s="3" t="str">
        <f>VLOOKUP(F195, 'KODE PESAWAT'!$A$2:$C$42, 3, FALSE)</f>
        <v>Thai Airways Group (Associate)</v>
      </c>
      <c r="H195" s="10">
        <v>1580000.0</v>
      </c>
      <c r="I195" s="10">
        <v>1816999.9999999998</v>
      </c>
      <c r="J195" s="10">
        <f t="shared" si="2"/>
        <v>-237000</v>
      </c>
      <c r="K195" s="11">
        <f t="shared" si="3"/>
        <v>-0.15</v>
      </c>
      <c r="L195" s="3" t="str">
        <f t="shared" si="4"/>
        <v>Fare Increase</v>
      </c>
      <c r="M195" s="10">
        <f t="shared" si="5"/>
        <v>237000</v>
      </c>
      <c r="N195" s="3" t="str">
        <f t="shared" si="6"/>
        <v>Issued</v>
      </c>
      <c r="O195" s="3" t="str">
        <f t="shared" si="7"/>
        <v>LOSS</v>
      </c>
      <c r="P195" s="3">
        <f t="shared" si="8"/>
        <v>1</v>
      </c>
      <c r="Q195" s="3">
        <f t="shared" si="9"/>
        <v>0</v>
      </c>
      <c r="R195" s="12">
        <f t="shared" si="10"/>
        <v>0</v>
      </c>
    </row>
    <row r="196">
      <c r="A196" s="3" t="s">
        <v>230</v>
      </c>
      <c r="B196" s="4">
        <v>46302.0</v>
      </c>
      <c r="C196" s="4" t="str">
        <f t="shared" si="1"/>
        <v>October</v>
      </c>
      <c r="D196" s="3" t="s">
        <v>18</v>
      </c>
      <c r="E196" s="3" t="s">
        <v>11</v>
      </c>
      <c r="F196" s="3" t="s">
        <v>19</v>
      </c>
      <c r="G196" s="3" t="str">
        <f>VLOOKUP(F196, 'KODE PESAWAT'!$A$2:$C$42, 3, FALSE)</f>
        <v>Lion Air Group</v>
      </c>
      <c r="H196" s="10">
        <v>6622000.0</v>
      </c>
      <c r="I196" s="10">
        <v>9270800.0</v>
      </c>
      <c r="J196" s="10">
        <f t="shared" si="2"/>
        <v>-2648800</v>
      </c>
      <c r="K196" s="11">
        <f t="shared" si="3"/>
        <v>-0.4</v>
      </c>
      <c r="L196" s="3" t="str">
        <f t="shared" si="4"/>
        <v>Fare Increase</v>
      </c>
      <c r="M196" s="10">
        <f t="shared" si="5"/>
        <v>2648800</v>
      </c>
      <c r="N196" s="3" t="str">
        <f t="shared" si="6"/>
        <v>Issued</v>
      </c>
      <c r="O196" s="3" t="str">
        <f t="shared" si="7"/>
        <v>LOSS</v>
      </c>
      <c r="P196" s="3">
        <f t="shared" si="8"/>
        <v>1</v>
      </c>
      <c r="Q196" s="3">
        <f t="shared" si="9"/>
        <v>0</v>
      </c>
      <c r="R196" s="12">
        <f t="shared" si="10"/>
        <v>0</v>
      </c>
    </row>
    <row r="197">
      <c r="A197" s="3" t="s">
        <v>231</v>
      </c>
      <c r="B197" s="4">
        <v>46239.0</v>
      </c>
      <c r="C197" s="4" t="str">
        <f t="shared" si="1"/>
        <v>August</v>
      </c>
      <c r="D197" s="3" t="s">
        <v>30</v>
      </c>
      <c r="E197" s="3" t="s">
        <v>15</v>
      </c>
      <c r="F197" s="3" t="s">
        <v>232</v>
      </c>
      <c r="G197" s="3" t="str">
        <f>VLOOKUP(F197, 'KODE PESAWAT'!$A$2:$C$42, 3, FALSE)</f>
        <v>Sriwijaya Air Group</v>
      </c>
      <c r="H197" s="10">
        <v>681000.0</v>
      </c>
      <c r="I197" s="10">
        <v>646950.0</v>
      </c>
      <c r="J197" s="10">
        <f t="shared" si="2"/>
        <v>34050</v>
      </c>
      <c r="K197" s="11">
        <f t="shared" si="3"/>
        <v>0.05</v>
      </c>
      <c r="L197" s="3" t="str">
        <f t="shared" si="4"/>
        <v>Normal</v>
      </c>
      <c r="M197" s="10">
        <f t="shared" si="5"/>
        <v>-34050</v>
      </c>
      <c r="N197" s="3" t="str">
        <f t="shared" si="6"/>
        <v>Issued</v>
      </c>
      <c r="O197" s="3" t="str">
        <f t="shared" si="7"/>
        <v>PROFIT</v>
      </c>
      <c r="P197" s="3">
        <f t="shared" si="8"/>
        <v>1</v>
      </c>
      <c r="Q197" s="3">
        <f t="shared" si="9"/>
        <v>1</v>
      </c>
      <c r="R197" s="12">
        <f t="shared" si="10"/>
        <v>0</v>
      </c>
    </row>
    <row r="198">
      <c r="A198" s="3" t="s">
        <v>233</v>
      </c>
      <c r="B198" s="4">
        <v>46371.0</v>
      </c>
      <c r="C198" s="4" t="str">
        <f t="shared" si="1"/>
        <v>December</v>
      </c>
      <c r="D198" s="3" t="s">
        <v>23</v>
      </c>
      <c r="E198" s="3" t="s">
        <v>15</v>
      </c>
      <c r="F198" s="3" t="s">
        <v>31</v>
      </c>
      <c r="G198" s="3" t="str">
        <f>VLOOKUP(F198, 'KODE PESAWAT'!$A$2:$C$42, 3, FALSE)</f>
        <v>Garuda Indonesia Group</v>
      </c>
      <c r="H198" s="10">
        <v>1445000.0</v>
      </c>
      <c r="I198" s="10">
        <v>2022999.9999999998</v>
      </c>
      <c r="J198" s="10">
        <f t="shared" si="2"/>
        <v>-578000</v>
      </c>
      <c r="K198" s="11">
        <f t="shared" si="3"/>
        <v>-0.4</v>
      </c>
      <c r="L198" s="3" t="str">
        <f t="shared" si="4"/>
        <v>Fare Increase</v>
      </c>
      <c r="M198" s="10">
        <f t="shared" si="5"/>
        <v>578000</v>
      </c>
      <c r="N198" s="3" t="str">
        <f t="shared" si="6"/>
        <v>Issued</v>
      </c>
      <c r="O198" s="3" t="str">
        <f t="shared" si="7"/>
        <v>LOSS</v>
      </c>
      <c r="P198" s="3">
        <f t="shared" si="8"/>
        <v>1</v>
      </c>
      <c r="Q198" s="3">
        <f t="shared" si="9"/>
        <v>0</v>
      </c>
      <c r="R198" s="12">
        <f t="shared" si="10"/>
        <v>0</v>
      </c>
    </row>
    <row r="199">
      <c r="A199" s="3" t="s">
        <v>234</v>
      </c>
      <c r="B199" s="4">
        <v>46175.0</v>
      </c>
      <c r="C199" s="4" t="str">
        <f t="shared" si="1"/>
        <v>June</v>
      </c>
      <c r="D199" s="3" t="s">
        <v>30</v>
      </c>
      <c r="E199" s="3" t="s">
        <v>15</v>
      </c>
      <c r="F199" s="3" t="s">
        <v>31</v>
      </c>
      <c r="G199" s="3" t="str">
        <f>VLOOKUP(F199, 'KODE PESAWAT'!$A$2:$C$42, 3, FALSE)</f>
        <v>Garuda Indonesia Group</v>
      </c>
      <c r="H199" s="10">
        <v>705000.0</v>
      </c>
      <c r="I199" s="10">
        <v>810749.9999999999</v>
      </c>
      <c r="J199" s="10">
        <f t="shared" si="2"/>
        <v>-105750</v>
      </c>
      <c r="K199" s="11">
        <f t="shared" si="3"/>
        <v>-0.15</v>
      </c>
      <c r="L199" s="3" t="str">
        <f t="shared" si="4"/>
        <v>Fare Increase</v>
      </c>
      <c r="M199" s="10">
        <f t="shared" si="5"/>
        <v>105750</v>
      </c>
      <c r="N199" s="3" t="str">
        <f t="shared" si="6"/>
        <v>Issued</v>
      </c>
      <c r="O199" s="3" t="str">
        <f t="shared" si="7"/>
        <v>LOSS</v>
      </c>
      <c r="P199" s="3">
        <f t="shared" si="8"/>
        <v>1</v>
      </c>
      <c r="Q199" s="3">
        <f t="shared" si="9"/>
        <v>0</v>
      </c>
      <c r="R199" s="12">
        <f t="shared" si="10"/>
        <v>0</v>
      </c>
    </row>
    <row r="200">
      <c r="A200" s="3" t="s">
        <v>235</v>
      </c>
      <c r="B200" s="4">
        <v>46047.0</v>
      </c>
      <c r="C200" s="4" t="str">
        <f t="shared" si="1"/>
        <v>January</v>
      </c>
      <c r="D200" s="3" t="s">
        <v>18</v>
      </c>
      <c r="E200" s="3" t="s">
        <v>11</v>
      </c>
      <c r="F200" s="3" t="s">
        <v>35</v>
      </c>
      <c r="G200" s="3" t="str">
        <f>VLOOKUP(F200, 'KODE PESAWAT'!$A$2:$C$42, 3, FALSE)</f>
        <v>Lion Air Group</v>
      </c>
      <c r="H200" s="10">
        <v>488000.0</v>
      </c>
      <c r="I200" s="10">
        <v>1220000.0</v>
      </c>
      <c r="J200" s="10">
        <f t="shared" si="2"/>
        <v>-732000</v>
      </c>
      <c r="K200" s="11">
        <f t="shared" si="3"/>
        <v>-1.5</v>
      </c>
      <c r="L200" s="3" t="str">
        <f t="shared" si="4"/>
        <v>Over Buffer</v>
      </c>
      <c r="M200" s="10">
        <f t="shared" si="5"/>
        <v>-488000</v>
      </c>
      <c r="N200" s="3" t="str">
        <f t="shared" si="6"/>
        <v>Refund</v>
      </c>
      <c r="O200" s="3" t="str">
        <f t="shared" si="7"/>
        <v>N/A</v>
      </c>
      <c r="P200" s="3">
        <f t="shared" si="8"/>
        <v>0</v>
      </c>
      <c r="Q200" s="3">
        <f t="shared" si="9"/>
        <v>0</v>
      </c>
      <c r="R200" s="12">
        <f t="shared" si="10"/>
        <v>1</v>
      </c>
    </row>
    <row r="201">
      <c r="A201" s="3" t="s">
        <v>236</v>
      </c>
      <c r="B201" s="4">
        <v>46057.0</v>
      </c>
      <c r="C201" s="4" t="str">
        <f t="shared" si="1"/>
        <v>February</v>
      </c>
      <c r="D201" s="3" t="s">
        <v>25</v>
      </c>
      <c r="E201" s="3" t="s">
        <v>15</v>
      </c>
      <c r="F201" s="3" t="s">
        <v>116</v>
      </c>
      <c r="G201" s="3" t="str">
        <f>VLOOKUP(F201, 'KODE PESAWAT'!$A$2:$C$42, 3, FALSE)</f>
        <v>VietJet Group</v>
      </c>
      <c r="H201" s="10">
        <v>1680000.0</v>
      </c>
      <c r="I201" s="10">
        <v>2352000.0</v>
      </c>
      <c r="J201" s="10">
        <f t="shared" si="2"/>
        <v>-672000</v>
      </c>
      <c r="K201" s="11">
        <f t="shared" si="3"/>
        <v>-0.4</v>
      </c>
      <c r="L201" s="3" t="str">
        <f t="shared" si="4"/>
        <v>Fare Increase</v>
      </c>
      <c r="M201" s="10">
        <f t="shared" si="5"/>
        <v>672000</v>
      </c>
      <c r="N201" s="3" t="str">
        <f t="shared" si="6"/>
        <v>Issued</v>
      </c>
      <c r="O201" s="3" t="str">
        <f t="shared" si="7"/>
        <v>LOSS</v>
      </c>
      <c r="P201" s="3">
        <f t="shared" si="8"/>
        <v>1</v>
      </c>
      <c r="Q201" s="3">
        <f t="shared" si="9"/>
        <v>0</v>
      </c>
      <c r="R201" s="12">
        <f t="shared" si="10"/>
        <v>0</v>
      </c>
    </row>
    <row r="202">
      <c r="A202" s="3" t="s">
        <v>237</v>
      </c>
      <c r="B202" s="4">
        <v>46035.0</v>
      </c>
      <c r="C202" s="4" t="str">
        <f t="shared" si="1"/>
        <v>January</v>
      </c>
      <c r="D202" s="3" t="s">
        <v>10</v>
      </c>
      <c r="E202" s="3" t="s">
        <v>11</v>
      </c>
      <c r="F202" s="3" t="s">
        <v>35</v>
      </c>
      <c r="G202" s="3" t="str">
        <f>VLOOKUP(F202, 'KODE PESAWAT'!$A$2:$C$42, 3, FALSE)</f>
        <v>Lion Air Group</v>
      </c>
      <c r="H202" s="10">
        <v>1.2688E7</v>
      </c>
      <c r="I202" s="10">
        <v>3.172E7</v>
      </c>
      <c r="J202" s="10">
        <f t="shared" si="2"/>
        <v>-19032000</v>
      </c>
      <c r="K202" s="11">
        <f t="shared" si="3"/>
        <v>-1.5</v>
      </c>
      <c r="L202" s="3" t="str">
        <f t="shared" si="4"/>
        <v>Over Buffer</v>
      </c>
      <c r="M202" s="10">
        <f t="shared" si="5"/>
        <v>-12688000</v>
      </c>
      <c r="N202" s="3" t="str">
        <f t="shared" si="6"/>
        <v>Refund</v>
      </c>
      <c r="O202" s="3" t="str">
        <f t="shared" si="7"/>
        <v>N/A</v>
      </c>
      <c r="P202" s="3">
        <f t="shared" si="8"/>
        <v>0</v>
      </c>
      <c r="Q202" s="3">
        <f t="shared" si="9"/>
        <v>0</v>
      </c>
      <c r="R202" s="12">
        <f t="shared" si="10"/>
        <v>1</v>
      </c>
    </row>
    <row r="203">
      <c r="A203" s="3" t="s">
        <v>238</v>
      </c>
      <c r="B203" s="4">
        <v>46160.0</v>
      </c>
      <c r="C203" s="4" t="str">
        <f t="shared" si="1"/>
        <v>May</v>
      </c>
      <c r="D203" s="3" t="s">
        <v>18</v>
      </c>
      <c r="E203" s="3" t="s">
        <v>11</v>
      </c>
      <c r="F203" s="3" t="s">
        <v>12</v>
      </c>
      <c r="G203" s="3" t="str">
        <f>VLOOKUP(F203, 'KODE PESAWAT'!$A$2:$C$42, 3, FALSE)</f>
        <v>AirAsia Group</v>
      </c>
      <c r="H203" s="10">
        <v>1774000.0</v>
      </c>
      <c r="I203" s="10">
        <v>2483600.0</v>
      </c>
      <c r="J203" s="10">
        <f t="shared" si="2"/>
        <v>-709600</v>
      </c>
      <c r="K203" s="11">
        <f t="shared" si="3"/>
        <v>-0.4</v>
      </c>
      <c r="L203" s="3" t="str">
        <f t="shared" si="4"/>
        <v>Fare Increase</v>
      </c>
      <c r="M203" s="10">
        <f t="shared" si="5"/>
        <v>709600</v>
      </c>
      <c r="N203" s="3" t="str">
        <f t="shared" si="6"/>
        <v>Issued</v>
      </c>
      <c r="O203" s="3" t="str">
        <f t="shared" si="7"/>
        <v>LOSS</v>
      </c>
      <c r="P203" s="3">
        <f t="shared" si="8"/>
        <v>1</v>
      </c>
      <c r="Q203" s="3">
        <f t="shared" si="9"/>
        <v>0</v>
      </c>
      <c r="R203" s="12">
        <f t="shared" si="10"/>
        <v>0</v>
      </c>
    </row>
    <row r="204">
      <c r="A204" s="3" t="s">
        <v>239</v>
      </c>
      <c r="B204" s="4">
        <v>46367.0</v>
      </c>
      <c r="C204" s="4" t="str">
        <f t="shared" si="1"/>
        <v>December</v>
      </c>
      <c r="D204" s="3" t="s">
        <v>30</v>
      </c>
      <c r="E204" s="3" t="s">
        <v>15</v>
      </c>
      <c r="F204" s="3" t="s">
        <v>12</v>
      </c>
      <c r="G204" s="3" t="str">
        <f>VLOOKUP(F204, 'KODE PESAWAT'!$A$2:$C$42, 3, FALSE)</f>
        <v>AirAsia Group</v>
      </c>
      <c r="H204" s="10">
        <v>1534000.0</v>
      </c>
      <c r="I204" s="10">
        <v>2147600.0</v>
      </c>
      <c r="J204" s="10">
        <f t="shared" si="2"/>
        <v>-613600</v>
      </c>
      <c r="K204" s="11">
        <f t="shared" si="3"/>
        <v>-0.4</v>
      </c>
      <c r="L204" s="3" t="str">
        <f t="shared" si="4"/>
        <v>Fare Increase</v>
      </c>
      <c r="M204" s="10">
        <f t="shared" si="5"/>
        <v>613600</v>
      </c>
      <c r="N204" s="3" t="str">
        <f t="shared" si="6"/>
        <v>Issued</v>
      </c>
      <c r="O204" s="3" t="str">
        <f t="shared" si="7"/>
        <v>LOSS</v>
      </c>
      <c r="P204" s="3">
        <f t="shared" si="8"/>
        <v>1</v>
      </c>
      <c r="Q204" s="3">
        <f t="shared" si="9"/>
        <v>0</v>
      </c>
      <c r="R204" s="12">
        <f t="shared" si="10"/>
        <v>0</v>
      </c>
    </row>
    <row r="205">
      <c r="A205" s="3" t="s">
        <v>240</v>
      </c>
      <c r="B205" s="4">
        <v>46109.0</v>
      </c>
      <c r="C205" s="4" t="str">
        <f t="shared" si="1"/>
        <v>March</v>
      </c>
      <c r="D205" s="3" t="s">
        <v>30</v>
      </c>
      <c r="E205" s="3" t="s">
        <v>15</v>
      </c>
      <c r="F205" s="3" t="s">
        <v>19</v>
      </c>
      <c r="G205" s="3" t="str">
        <f>VLOOKUP(F205, 'KODE PESAWAT'!$A$2:$C$42, 3, FALSE)</f>
        <v>Lion Air Group</v>
      </c>
      <c r="H205" s="10">
        <v>735000.0</v>
      </c>
      <c r="I205" s="10">
        <v>698250.0</v>
      </c>
      <c r="J205" s="10">
        <f t="shared" si="2"/>
        <v>36750</v>
      </c>
      <c r="K205" s="11">
        <f t="shared" si="3"/>
        <v>0.05</v>
      </c>
      <c r="L205" s="3" t="str">
        <f t="shared" si="4"/>
        <v>Normal</v>
      </c>
      <c r="M205" s="10">
        <f t="shared" si="5"/>
        <v>-36750</v>
      </c>
      <c r="N205" s="3" t="str">
        <f t="shared" si="6"/>
        <v>Issued</v>
      </c>
      <c r="O205" s="3" t="str">
        <f t="shared" si="7"/>
        <v>PROFIT</v>
      </c>
      <c r="P205" s="3">
        <f t="shared" si="8"/>
        <v>1</v>
      </c>
      <c r="Q205" s="3">
        <f t="shared" si="9"/>
        <v>1</v>
      </c>
      <c r="R205" s="12">
        <f t="shared" si="10"/>
        <v>0</v>
      </c>
    </row>
    <row r="206">
      <c r="A206" s="3" t="s">
        <v>241</v>
      </c>
      <c r="B206" s="4">
        <v>46025.0</v>
      </c>
      <c r="C206" s="4" t="str">
        <f t="shared" si="1"/>
        <v>January</v>
      </c>
      <c r="D206" s="3" t="s">
        <v>18</v>
      </c>
      <c r="E206" s="3" t="s">
        <v>11</v>
      </c>
      <c r="F206" s="3" t="s">
        <v>19</v>
      </c>
      <c r="G206" s="3" t="str">
        <f>VLOOKUP(F206, 'KODE PESAWAT'!$A$2:$C$42, 3, FALSE)</f>
        <v>Lion Air Group</v>
      </c>
      <c r="H206" s="10">
        <v>1231000.0</v>
      </c>
      <c r="I206" s="10">
        <v>1169450.0</v>
      </c>
      <c r="J206" s="10">
        <f t="shared" si="2"/>
        <v>61550</v>
      </c>
      <c r="K206" s="11">
        <f t="shared" si="3"/>
        <v>0.05</v>
      </c>
      <c r="L206" s="3" t="str">
        <f t="shared" si="4"/>
        <v>Normal</v>
      </c>
      <c r="M206" s="10">
        <f t="shared" si="5"/>
        <v>-61550</v>
      </c>
      <c r="N206" s="3" t="str">
        <f t="shared" si="6"/>
        <v>Issued</v>
      </c>
      <c r="O206" s="3" t="str">
        <f t="shared" si="7"/>
        <v>PROFIT</v>
      </c>
      <c r="P206" s="3">
        <f t="shared" si="8"/>
        <v>1</v>
      </c>
      <c r="Q206" s="3">
        <f t="shared" si="9"/>
        <v>1</v>
      </c>
      <c r="R206" s="12">
        <f t="shared" si="10"/>
        <v>0</v>
      </c>
    </row>
    <row r="207">
      <c r="A207" s="3" t="s">
        <v>242</v>
      </c>
      <c r="B207" s="4">
        <v>46257.0</v>
      </c>
      <c r="C207" s="4" t="str">
        <f t="shared" si="1"/>
        <v>August</v>
      </c>
      <c r="D207" s="3" t="s">
        <v>30</v>
      </c>
      <c r="E207" s="3" t="s">
        <v>15</v>
      </c>
      <c r="F207" s="3" t="s">
        <v>100</v>
      </c>
      <c r="G207" s="3" t="str">
        <f>VLOOKUP(F207, 'KODE PESAWAT'!$A$2:$C$42, 3, FALSE)</f>
        <v>JG Summit Holdings</v>
      </c>
      <c r="H207" s="10">
        <v>1.3316E7</v>
      </c>
      <c r="I207" s="10">
        <v>1.86424E7</v>
      </c>
      <c r="J207" s="10">
        <f t="shared" si="2"/>
        <v>-5326400</v>
      </c>
      <c r="K207" s="11">
        <f t="shared" si="3"/>
        <v>-0.4</v>
      </c>
      <c r="L207" s="3" t="str">
        <f t="shared" si="4"/>
        <v>Fare Increase</v>
      </c>
      <c r="M207" s="10">
        <f t="shared" si="5"/>
        <v>5326400</v>
      </c>
      <c r="N207" s="3" t="str">
        <f t="shared" si="6"/>
        <v>Issued</v>
      </c>
      <c r="O207" s="3" t="str">
        <f t="shared" si="7"/>
        <v>LOSS</v>
      </c>
      <c r="P207" s="3">
        <f t="shared" si="8"/>
        <v>1</v>
      </c>
      <c r="Q207" s="3">
        <f t="shared" si="9"/>
        <v>0</v>
      </c>
      <c r="R207" s="12">
        <f t="shared" si="10"/>
        <v>0</v>
      </c>
    </row>
    <row r="208">
      <c r="A208" s="3" t="s">
        <v>243</v>
      </c>
      <c r="B208" s="4">
        <v>46287.0</v>
      </c>
      <c r="C208" s="4" t="str">
        <f t="shared" si="1"/>
        <v>September</v>
      </c>
      <c r="D208" s="3" t="s">
        <v>25</v>
      </c>
      <c r="E208" s="3" t="s">
        <v>15</v>
      </c>
      <c r="F208" s="3" t="s">
        <v>26</v>
      </c>
      <c r="G208" s="3" t="str">
        <f>VLOOKUP(F208, 'KODE PESAWAT'!$A$2:$C$42, 3, FALSE)</f>
        <v>VietJet Group</v>
      </c>
      <c r="H208" s="10">
        <v>3236000.0</v>
      </c>
      <c r="I208" s="10">
        <v>3074200.0</v>
      </c>
      <c r="J208" s="10">
        <f t="shared" si="2"/>
        <v>161800</v>
      </c>
      <c r="K208" s="11">
        <f t="shared" si="3"/>
        <v>0.05</v>
      </c>
      <c r="L208" s="3" t="str">
        <f t="shared" si="4"/>
        <v>Normal</v>
      </c>
      <c r="M208" s="10">
        <f t="shared" si="5"/>
        <v>-161800</v>
      </c>
      <c r="N208" s="3" t="str">
        <f t="shared" si="6"/>
        <v>Issued</v>
      </c>
      <c r="O208" s="3" t="str">
        <f t="shared" si="7"/>
        <v>PROFIT</v>
      </c>
      <c r="P208" s="3">
        <f t="shared" si="8"/>
        <v>1</v>
      </c>
      <c r="Q208" s="3">
        <f t="shared" si="9"/>
        <v>1</v>
      </c>
      <c r="R208" s="12">
        <f t="shared" si="10"/>
        <v>0</v>
      </c>
    </row>
    <row r="209">
      <c r="A209" s="3" t="s">
        <v>244</v>
      </c>
      <c r="B209" s="4">
        <v>46380.0</v>
      </c>
      <c r="C209" s="4" t="str">
        <f t="shared" si="1"/>
        <v>December</v>
      </c>
      <c r="D209" s="3" t="s">
        <v>10</v>
      </c>
      <c r="E209" s="3" t="s">
        <v>11</v>
      </c>
      <c r="F209" s="3" t="s">
        <v>63</v>
      </c>
      <c r="G209" s="3" t="str">
        <f>VLOOKUP(F209, 'KODE PESAWAT'!$A$2:$C$42, 3, FALSE)</f>
        <v>Lion Air Group</v>
      </c>
      <c r="H209" s="10">
        <v>1461000.0</v>
      </c>
      <c r="I209" s="10">
        <v>2045399.9999999998</v>
      </c>
      <c r="J209" s="10">
        <f t="shared" si="2"/>
        <v>-584400</v>
      </c>
      <c r="K209" s="11">
        <f t="shared" si="3"/>
        <v>-0.4</v>
      </c>
      <c r="L209" s="3" t="str">
        <f t="shared" si="4"/>
        <v>Fare Increase</v>
      </c>
      <c r="M209" s="10">
        <f t="shared" si="5"/>
        <v>584400</v>
      </c>
      <c r="N209" s="3" t="str">
        <f t="shared" si="6"/>
        <v>Issued</v>
      </c>
      <c r="O209" s="3" t="str">
        <f t="shared" si="7"/>
        <v>LOSS</v>
      </c>
      <c r="P209" s="3">
        <f t="shared" si="8"/>
        <v>1</v>
      </c>
      <c r="Q209" s="3">
        <f t="shared" si="9"/>
        <v>0</v>
      </c>
      <c r="R209" s="12">
        <f t="shared" si="10"/>
        <v>0</v>
      </c>
    </row>
    <row r="210">
      <c r="A210" s="3" t="s">
        <v>245</v>
      </c>
      <c r="B210" s="4">
        <v>46070.0</v>
      </c>
      <c r="C210" s="4" t="str">
        <f t="shared" si="1"/>
        <v>February</v>
      </c>
      <c r="D210" s="3" t="s">
        <v>23</v>
      </c>
      <c r="E210" s="3" t="s">
        <v>15</v>
      </c>
      <c r="F210" s="3" t="s">
        <v>31</v>
      </c>
      <c r="G210" s="3" t="str">
        <f>VLOOKUP(F210, 'KODE PESAWAT'!$A$2:$C$42, 3, FALSE)</f>
        <v>Garuda Indonesia Group</v>
      </c>
      <c r="H210" s="10">
        <v>1076000.0</v>
      </c>
      <c r="I210" s="10">
        <v>1022200.0</v>
      </c>
      <c r="J210" s="10">
        <f t="shared" si="2"/>
        <v>53800</v>
      </c>
      <c r="K210" s="11">
        <f t="shared" si="3"/>
        <v>0.05</v>
      </c>
      <c r="L210" s="3" t="str">
        <f t="shared" si="4"/>
        <v>Normal</v>
      </c>
      <c r="M210" s="10">
        <f t="shared" si="5"/>
        <v>-53800</v>
      </c>
      <c r="N210" s="3" t="str">
        <f t="shared" si="6"/>
        <v>Issued</v>
      </c>
      <c r="O210" s="3" t="str">
        <f t="shared" si="7"/>
        <v>PROFIT</v>
      </c>
      <c r="P210" s="3">
        <f t="shared" si="8"/>
        <v>1</v>
      </c>
      <c r="Q210" s="3">
        <f t="shared" si="9"/>
        <v>1</v>
      </c>
      <c r="R210" s="12">
        <f t="shared" si="10"/>
        <v>0</v>
      </c>
    </row>
    <row r="211">
      <c r="A211" s="3" t="s">
        <v>246</v>
      </c>
      <c r="B211" s="4">
        <v>46073.0</v>
      </c>
      <c r="C211" s="4" t="str">
        <f t="shared" si="1"/>
        <v>February</v>
      </c>
      <c r="D211" s="3" t="s">
        <v>25</v>
      </c>
      <c r="E211" s="3" t="s">
        <v>15</v>
      </c>
      <c r="F211" s="3" t="s">
        <v>26</v>
      </c>
      <c r="G211" s="3" t="str">
        <f>VLOOKUP(F211, 'KODE PESAWAT'!$A$2:$C$42, 3, FALSE)</f>
        <v>VietJet Group</v>
      </c>
      <c r="H211" s="10">
        <v>528000.0</v>
      </c>
      <c r="I211" s="10">
        <v>501600.0</v>
      </c>
      <c r="J211" s="10">
        <f t="shared" si="2"/>
        <v>26400</v>
      </c>
      <c r="K211" s="11">
        <f t="shared" si="3"/>
        <v>0.05</v>
      </c>
      <c r="L211" s="3" t="str">
        <f t="shared" si="4"/>
        <v>Normal</v>
      </c>
      <c r="M211" s="10">
        <f t="shared" si="5"/>
        <v>-26400</v>
      </c>
      <c r="N211" s="3" t="str">
        <f t="shared" si="6"/>
        <v>Issued</v>
      </c>
      <c r="O211" s="3" t="str">
        <f t="shared" si="7"/>
        <v>PROFIT</v>
      </c>
      <c r="P211" s="3">
        <f t="shared" si="8"/>
        <v>1</v>
      </c>
      <c r="Q211" s="3">
        <f t="shared" si="9"/>
        <v>1</v>
      </c>
      <c r="R211" s="12">
        <f t="shared" si="10"/>
        <v>0</v>
      </c>
    </row>
    <row r="212">
      <c r="A212" s="3" t="s">
        <v>247</v>
      </c>
      <c r="B212" s="4">
        <v>46034.0</v>
      </c>
      <c r="C212" s="4" t="str">
        <f t="shared" si="1"/>
        <v>January</v>
      </c>
      <c r="D212" s="3" t="s">
        <v>30</v>
      </c>
      <c r="E212" s="3" t="s">
        <v>15</v>
      </c>
      <c r="F212" s="3" t="s">
        <v>12</v>
      </c>
      <c r="G212" s="3" t="str">
        <f>VLOOKUP(F212, 'KODE PESAWAT'!$A$2:$C$42, 3, FALSE)</f>
        <v>AirAsia Group</v>
      </c>
      <c r="H212" s="10">
        <v>1390000.0</v>
      </c>
      <c r="I212" s="10">
        <v>1945999.9999999998</v>
      </c>
      <c r="J212" s="10">
        <f t="shared" si="2"/>
        <v>-556000</v>
      </c>
      <c r="K212" s="11">
        <f t="shared" si="3"/>
        <v>-0.4</v>
      </c>
      <c r="L212" s="3" t="str">
        <f t="shared" si="4"/>
        <v>Fare Increase</v>
      </c>
      <c r="M212" s="10">
        <f t="shared" si="5"/>
        <v>556000</v>
      </c>
      <c r="N212" s="3" t="str">
        <f t="shared" si="6"/>
        <v>Issued</v>
      </c>
      <c r="O212" s="3" t="str">
        <f t="shared" si="7"/>
        <v>LOSS</v>
      </c>
      <c r="P212" s="3">
        <f t="shared" si="8"/>
        <v>1</v>
      </c>
      <c r="Q212" s="3">
        <f t="shared" si="9"/>
        <v>0</v>
      </c>
      <c r="R212" s="12">
        <f t="shared" si="10"/>
        <v>0</v>
      </c>
    </row>
    <row r="213">
      <c r="A213" s="3" t="s">
        <v>248</v>
      </c>
      <c r="B213" s="4">
        <v>46350.0</v>
      </c>
      <c r="C213" s="4" t="str">
        <f t="shared" si="1"/>
        <v>November</v>
      </c>
      <c r="D213" s="3" t="s">
        <v>18</v>
      </c>
      <c r="E213" s="3" t="s">
        <v>11</v>
      </c>
      <c r="F213" s="3" t="s">
        <v>12</v>
      </c>
      <c r="G213" s="3" t="str">
        <f>VLOOKUP(F213, 'KODE PESAWAT'!$A$2:$C$42, 3, FALSE)</f>
        <v>AirAsia Group</v>
      </c>
      <c r="H213" s="10">
        <v>514000.0</v>
      </c>
      <c r="I213" s="10">
        <v>719600.0</v>
      </c>
      <c r="J213" s="10">
        <f t="shared" si="2"/>
        <v>-205600</v>
      </c>
      <c r="K213" s="11">
        <f t="shared" si="3"/>
        <v>-0.4</v>
      </c>
      <c r="L213" s="3" t="str">
        <f t="shared" si="4"/>
        <v>Fare Increase</v>
      </c>
      <c r="M213" s="10">
        <f t="shared" si="5"/>
        <v>205600</v>
      </c>
      <c r="N213" s="3" t="str">
        <f t="shared" si="6"/>
        <v>Issued</v>
      </c>
      <c r="O213" s="3" t="str">
        <f t="shared" si="7"/>
        <v>LOSS</v>
      </c>
      <c r="P213" s="3">
        <f t="shared" si="8"/>
        <v>1</v>
      </c>
      <c r="Q213" s="3">
        <f t="shared" si="9"/>
        <v>0</v>
      </c>
      <c r="R213" s="12">
        <f t="shared" si="10"/>
        <v>0</v>
      </c>
    </row>
    <row r="214">
      <c r="A214" s="3" t="s">
        <v>249</v>
      </c>
      <c r="B214" s="4">
        <v>46188.0</v>
      </c>
      <c r="C214" s="4" t="str">
        <f t="shared" si="1"/>
        <v>June</v>
      </c>
      <c r="D214" s="3" t="s">
        <v>25</v>
      </c>
      <c r="E214" s="3" t="s">
        <v>15</v>
      </c>
      <c r="F214" s="3" t="s">
        <v>26</v>
      </c>
      <c r="G214" s="3" t="str">
        <f>VLOOKUP(F214, 'KODE PESAWAT'!$A$2:$C$42, 3, FALSE)</f>
        <v>VietJet Group</v>
      </c>
      <c r="H214" s="10">
        <v>503000.0</v>
      </c>
      <c r="I214" s="10">
        <v>704200.0</v>
      </c>
      <c r="J214" s="10">
        <f t="shared" si="2"/>
        <v>-201200</v>
      </c>
      <c r="K214" s="11">
        <f t="shared" si="3"/>
        <v>-0.4</v>
      </c>
      <c r="L214" s="3" t="str">
        <f t="shared" si="4"/>
        <v>Fare Increase</v>
      </c>
      <c r="M214" s="10">
        <f t="shared" si="5"/>
        <v>201200</v>
      </c>
      <c r="N214" s="3" t="str">
        <f t="shared" si="6"/>
        <v>Issued</v>
      </c>
      <c r="O214" s="3" t="str">
        <f t="shared" si="7"/>
        <v>LOSS</v>
      </c>
      <c r="P214" s="3">
        <f t="shared" si="8"/>
        <v>1</v>
      </c>
      <c r="Q214" s="3">
        <f t="shared" si="9"/>
        <v>0</v>
      </c>
      <c r="R214" s="12">
        <f t="shared" si="10"/>
        <v>0</v>
      </c>
    </row>
    <row r="215">
      <c r="A215" s="3" t="s">
        <v>250</v>
      </c>
      <c r="B215" s="4">
        <v>46318.0</v>
      </c>
      <c r="C215" s="4" t="str">
        <f t="shared" si="1"/>
        <v>October</v>
      </c>
      <c r="D215" s="3" t="s">
        <v>14</v>
      </c>
      <c r="E215" s="3" t="s">
        <v>15</v>
      </c>
      <c r="F215" s="3" t="s">
        <v>37</v>
      </c>
      <c r="G215" s="3" t="str">
        <f>VLOOKUP(F215, 'KODE PESAWAT'!$A$2:$C$42, 3, FALSE)</f>
        <v>Lion Air Group</v>
      </c>
      <c r="H215" s="10">
        <v>1063000.0</v>
      </c>
      <c r="I215" s="10">
        <v>2657500.0</v>
      </c>
      <c r="J215" s="10">
        <f t="shared" si="2"/>
        <v>-1594500</v>
      </c>
      <c r="K215" s="11">
        <f t="shared" si="3"/>
        <v>-1.5</v>
      </c>
      <c r="L215" s="3" t="str">
        <f t="shared" si="4"/>
        <v>Over Buffer</v>
      </c>
      <c r="M215" s="10">
        <f t="shared" si="5"/>
        <v>-1063000</v>
      </c>
      <c r="N215" s="3" t="str">
        <f t="shared" si="6"/>
        <v>Refund</v>
      </c>
      <c r="O215" s="3" t="str">
        <f t="shared" si="7"/>
        <v>N/A</v>
      </c>
      <c r="P215" s="3">
        <f t="shared" si="8"/>
        <v>0</v>
      </c>
      <c r="Q215" s="3">
        <f t="shared" si="9"/>
        <v>0</v>
      </c>
      <c r="R215" s="12">
        <f t="shared" si="10"/>
        <v>1</v>
      </c>
    </row>
    <row r="216">
      <c r="A216" s="3" t="s">
        <v>251</v>
      </c>
      <c r="B216" s="4">
        <v>46306.0</v>
      </c>
      <c r="C216" s="4" t="str">
        <f t="shared" si="1"/>
        <v>October</v>
      </c>
      <c r="D216" s="3" t="s">
        <v>18</v>
      </c>
      <c r="E216" s="3" t="s">
        <v>11</v>
      </c>
      <c r="F216" s="3" t="s">
        <v>19</v>
      </c>
      <c r="G216" s="3" t="str">
        <f>VLOOKUP(F216, 'KODE PESAWAT'!$A$2:$C$42, 3, FALSE)</f>
        <v>Lion Air Group</v>
      </c>
      <c r="H216" s="10">
        <v>3017000.0</v>
      </c>
      <c r="I216" s="10">
        <v>2866150.0</v>
      </c>
      <c r="J216" s="10">
        <f t="shared" si="2"/>
        <v>150850</v>
      </c>
      <c r="K216" s="11">
        <f t="shared" si="3"/>
        <v>0.05</v>
      </c>
      <c r="L216" s="3" t="str">
        <f t="shared" si="4"/>
        <v>Normal</v>
      </c>
      <c r="M216" s="10">
        <f t="shared" si="5"/>
        <v>-150850</v>
      </c>
      <c r="N216" s="3" t="str">
        <f t="shared" si="6"/>
        <v>Issued</v>
      </c>
      <c r="O216" s="3" t="str">
        <f t="shared" si="7"/>
        <v>PROFIT</v>
      </c>
      <c r="P216" s="3">
        <f t="shared" si="8"/>
        <v>1</v>
      </c>
      <c r="Q216" s="3">
        <f t="shared" si="9"/>
        <v>1</v>
      </c>
      <c r="R216" s="12">
        <f t="shared" si="10"/>
        <v>0</v>
      </c>
    </row>
    <row r="217">
      <c r="A217" s="3" t="s">
        <v>252</v>
      </c>
      <c r="B217" s="4">
        <v>46083.0</v>
      </c>
      <c r="C217" s="4" t="str">
        <f t="shared" si="1"/>
        <v>March</v>
      </c>
      <c r="D217" s="3" t="s">
        <v>14</v>
      </c>
      <c r="E217" s="3" t="s">
        <v>15</v>
      </c>
      <c r="F217" s="3" t="s">
        <v>16</v>
      </c>
      <c r="G217" s="3" t="str">
        <f>VLOOKUP(F217, 'KODE PESAWAT'!$A$2:$C$42, 3, FALSE)</f>
        <v>Thai Airways Group (Associate)</v>
      </c>
      <c r="H217" s="10">
        <v>4366000.0</v>
      </c>
      <c r="I217" s="10">
        <v>5020900.0</v>
      </c>
      <c r="J217" s="10">
        <f t="shared" si="2"/>
        <v>-654900</v>
      </c>
      <c r="K217" s="11">
        <f t="shared" si="3"/>
        <v>-0.15</v>
      </c>
      <c r="L217" s="3" t="str">
        <f t="shared" si="4"/>
        <v>Fare Increase</v>
      </c>
      <c r="M217" s="10">
        <f t="shared" si="5"/>
        <v>654900</v>
      </c>
      <c r="N217" s="3" t="str">
        <f t="shared" si="6"/>
        <v>Issued</v>
      </c>
      <c r="O217" s="3" t="str">
        <f t="shared" si="7"/>
        <v>LOSS</v>
      </c>
      <c r="P217" s="3">
        <f t="shared" si="8"/>
        <v>1</v>
      </c>
      <c r="Q217" s="3">
        <f t="shared" si="9"/>
        <v>0</v>
      </c>
      <c r="R217" s="12">
        <f t="shared" si="10"/>
        <v>0</v>
      </c>
    </row>
    <row r="218">
      <c r="A218" s="3" t="s">
        <v>253</v>
      </c>
      <c r="B218" s="4">
        <v>46126.0</v>
      </c>
      <c r="C218" s="4" t="str">
        <f t="shared" si="1"/>
        <v>April</v>
      </c>
      <c r="D218" s="3" t="s">
        <v>14</v>
      </c>
      <c r="E218" s="3" t="s">
        <v>15</v>
      </c>
      <c r="F218" s="3" t="s">
        <v>16</v>
      </c>
      <c r="G218" s="3" t="str">
        <f>VLOOKUP(F218, 'KODE PESAWAT'!$A$2:$C$42, 3, FALSE)</f>
        <v>Thai Airways Group (Associate)</v>
      </c>
      <c r="H218" s="10">
        <v>1289000.0</v>
      </c>
      <c r="I218" s="10">
        <v>3222500.0</v>
      </c>
      <c r="J218" s="10">
        <f t="shared" si="2"/>
        <v>-1933500</v>
      </c>
      <c r="K218" s="11">
        <f t="shared" si="3"/>
        <v>-1.5</v>
      </c>
      <c r="L218" s="3" t="str">
        <f t="shared" si="4"/>
        <v>Over Buffer</v>
      </c>
      <c r="M218" s="10">
        <f t="shared" si="5"/>
        <v>-1289000</v>
      </c>
      <c r="N218" s="3" t="str">
        <f t="shared" si="6"/>
        <v>Refund</v>
      </c>
      <c r="O218" s="3" t="str">
        <f t="shared" si="7"/>
        <v>N/A</v>
      </c>
      <c r="P218" s="3">
        <f t="shared" si="8"/>
        <v>0</v>
      </c>
      <c r="Q218" s="3">
        <f t="shared" si="9"/>
        <v>0</v>
      </c>
      <c r="R218" s="12">
        <f t="shared" si="10"/>
        <v>1</v>
      </c>
    </row>
    <row r="219">
      <c r="A219" s="3" t="s">
        <v>254</v>
      </c>
      <c r="B219" s="4">
        <v>46350.0</v>
      </c>
      <c r="C219" s="4" t="str">
        <f t="shared" si="1"/>
        <v>November</v>
      </c>
      <c r="D219" s="3" t="s">
        <v>23</v>
      </c>
      <c r="E219" s="3" t="s">
        <v>15</v>
      </c>
      <c r="F219" s="3" t="s">
        <v>33</v>
      </c>
      <c r="G219" s="3" t="str">
        <f>VLOOKUP(F219, 'KODE PESAWAT'!$A$2:$C$42, 3, FALSE)</f>
        <v>Garuda Indonesia Group</v>
      </c>
      <c r="H219" s="10">
        <v>1341000.0</v>
      </c>
      <c r="I219" s="10">
        <v>3352500.0</v>
      </c>
      <c r="J219" s="10">
        <f t="shared" si="2"/>
        <v>-2011500</v>
      </c>
      <c r="K219" s="11">
        <f t="shared" si="3"/>
        <v>-1.5</v>
      </c>
      <c r="L219" s="3" t="str">
        <f t="shared" si="4"/>
        <v>Over Buffer</v>
      </c>
      <c r="M219" s="10">
        <f t="shared" si="5"/>
        <v>-1341000</v>
      </c>
      <c r="N219" s="3" t="str">
        <f t="shared" si="6"/>
        <v>Refund</v>
      </c>
      <c r="O219" s="3" t="str">
        <f t="shared" si="7"/>
        <v>N/A</v>
      </c>
      <c r="P219" s="3">
        <f t="shared" si="8"/>
        <v>0</v>
      </c>
      <c r="Q219" s="3">
        <f t="shared" si="9"/>
        <v>0</v>
      </c>
      <c r="R219" s="12">
        <f t="shared" si="10"/>
        <v>1</v>
      </c>
    </row>
    <row r="220">
      <c r="A220" s="3" t="s">
        <v>255</v>
      </c>
      <c r="B220" s="4">
        <v>46347.0</v>
      </c>
      <c r="C220" s="4" t="str">
        <f t="shared" si="1"/>
        <v>November</v>
      </c>
      <c r="D220" s="3" t="s">
        <v>14</v>
      </c>
      <c r="E220" s="3" t="s">
        <v>15</v>
      </c>
      <c r="F220" s="3" t="s">
        <v>16</v>
      </c>
      <c r="G220" s="3" t="str">
        <f>VLOOKUP(F220, 'KODE PESAWAT'!$A$2:$C$42, 3, FALSE)</f>
        <v>Thai Airways Group (Associate)</v>
      </c>
      <c r="H220" s="10">
        <v>957000.0</v>
      </c>
      <c r="I220" s="10">
        <v>2392500.0</v>
      </c>
      <c r="J220" s="10">
        <f t="shared" si="2"/>
        <v>-1435500</v>
      </c>
      <c r="K220" s="11">
        <f t="shared" si="3"/>
        <v>-1.5</v>
      </c>
      <c r="L220" s="3" t="str">
        <f t="shared" si="4"/>
        <v>Over Buffer</v>
      </c>
      <c r="M220" s="10">
        <f t="shared" si="5"/>
        <v>-957000</v>
      </c>
      <c r="N220" s="3" t="str">
        <f t="shared" si="6"/>
        <v>Refund</v>
      </c>
      <c r="O220" s="3" t="str">
        <f t="shared" si="7"/>
        <v>N/A</v>
      </c>
      <c r="P220" s="3">
        <f t="shared" si="8"/>
        <v>0</v>
      </c>
      <c r="Q220" s="3">
        <f t="shared" si="9"/>
        <v>0</v>
      </c>
      <c r="R220" s="12">
        <f t="shared" si="10"/>
        <v>1</v>
      </c>
    </row>
    <row r="221">
      <c r="A221" s="3" t="s">
        <v>256</v>
      </c>
      <c r="B221" s="4">
        <v>46149.0</v>
      </c>
      <c r="C221" s="4" t="str">
        <f t="shared" si="1"/>
        <v>May</v>
      </c>
      <c r="D221" s="3" t="s">
        <v>14</v>
      </c>
      <c r="E221" s="3" t="s">
        <v>15</v>
      </c>
      <c r="F221" s="3" t="s">
        <v>63</v>
      </c>
      <c r="G221" s="3" t="str">
        <f>VLOOKUP(F221, 'KODE PESAWAT'!$A$2:$C$42, 3, FALSE)</f>
        <v>Lion Air Group</v>
      </c>
      <c r="H221" s="10">
        <v>849000.0</v>
      </c>
      <c r="I221" s="10">
        <v>1188600.0</v>
      </c>
      <c r="J221" s="10">
        <f t="shared" si="2"/>
        <v>-339600</v>
      </c>
      <c r="K221" s="11">
        <f t="shared" si="3"/>
        <v>-0.4</v>
      </c>
      <c r="L221" s="3" t="str">
        <f t="shared" si="4"/>
        <v>Fare Increase</v>
      </c>
      <c r="M221" s="10">
        <f t="shared" si="5"/>
        <v>339600</v>
      </c>
      <c r="N221" s="3" t="str">
        <f t="shared" si="6"/>
        <v>Issued</v>
      </c>
      <c r="O221" s="3" t="str">
        <f t="shared" si="7"/>
        <v>LOSS</v>
      </c>
      <c r="P221" s="3">
        <f t="shared" si="8"/>
        <v>1</v>
      </c>
      <c r="Q221" s="3">
        <f t="shared" si="9"/>
        <v>0</v>
      </c>
      <c r="R221" s="12">
        <f t="shared" si="10"/>
        <v>0</v>
      </c>
    </row>
    <row r="222">
      <c r="A222" s="3" t="s">
        <v>257</v>
      </c>
      <c r="B222" s="4">
        <v>46300.0</v>
      </c>
      <c r="C222" s="4" t="str">
        <f t="shared" si="1"/>
        <v>October</v>
      </c>
      <c r="D222" s="3" t="s">
        <v>18</v>
      </c>
      <c r="E222" s="3" t="s">
        <v>11</v>
      </c>
      <c r="F222" s="3" t="s">
        <v>19</v>
      </c>
      <c r="G222" s="3" t="str">
        <f>VLOOKUP(F222, 'KODE PESAWAT'!$A$2:$C$42, 3, FALSE)</f>
        <v>Lion Air Group</v>
      </c>
      <c r="H222" s="10">
        <v>1.2022E7</v>
      </c>
      <c r="I222" s="10">
        <v>1.14209E7</v>
      </c>
      <c r="J222" s="10">
        <f t="shared" si="2"/>
        <v>601100</v>
      </c>
      <c r="K222" s="11">
        <f t="shared" si="3"/>
        <v>0.05</v>
      </c>
      <c r="L222" s="3" t="str">
        <f t="shared" si="4"/>
        <v>Normal</v>
      </c>
      <c r="M222" s="10">
        <f t="shared" si="5"/>
        <v>-601100</v>
      </c>
      <c r="N222" s="3" t="str">
        <f t="shared" si="6"/>
        <v>Issued</v>
      </c>
      <c r="O222" s="3" t="str">
        <f t="shared" si="7"/>
        <v>PROFIT</v>
      </c>
      <c r="P222" s="3">
        <f t="shared" si="8"/>
        <v>1</v>
      </c>
      <c r="Q222" s="3">
        <f t="shared" si="9"/>
        <v>1</v>
      </c>
      <c r="R222" s="12">
        <f t="shared" si="10"/>
        <v>0</v>
      </c>
    </row>
    <row r="223">
      <c r="A223" s="3" t="s">
        <v>258</v>
      </c>
      <c r="B223" s="4">
        <v>46042.0</v>
      </c>
      <c r="C223" s="4" t="str">
        <f t="shared" si="1"/>
        <v>January</v>
      </c>
      <c r="D223" s="3" t="s">
        <v>30</v>
      </c>
      <c r="E223" s="3" t="s">
        <v>15</v>
      </c>
      <c r="F223" s="3" t="s">
        <v>12</v>
      </c>
      <c r="G223" s="3" t="str">
        <f>VLOOKUP(F223, 'KODE PESAWAT'!$A$2:$C$42, 3, FALSE)</f>
        <v>AirAsia Group</v>
      </c>
      <c r="H223" s="10">
        <v>500000.0</v>
      </c>
      <c r="I223" s="10">
        <v>575000.0</v>
      </c>
      <c r="J223" s="10">
        <f t="shared" si="2"/>
        <v>-75000</v>
      </c>
      <c r="K223" s="11">
        <f t="shared" si="3"/>
        <v>-0.15</v>
      </c>
      <c r="L223" s="3" t="str">
        <f t="shared" si="4"/>
        <v>Fare Increase</v>
      </c>
      <c r="M223" s="10">
        <f t="shared" si="5"/>
        <v>75000</v>
      </c>
      <c r="N223" s="3" t="str">
        <f t="shared" si="6"/>
        <v>Issued</v>
      </c>
      <c r="O223" s="3" t="str">
        <f t="shared" si="7"/>
        <v>LOSS</v>
      </c>
      <c r="P223" s="3">
        <f t="shared" si="8"/>
        <v>1</v>
      </c>
      <c r="Q223" s="3">
        <f t="shared" si="9"/>
        <v>0</v>
      </c>
      <c r="R223" s="12">
        <f t="shared" si="10"/>
        <v>0</v>
      </c>
    </row>
    <row r="224">
      <c r="A224" s="3" t="s">
        <v>259</v>
      </c>
      <c r="B224" s="4">
        <v>46275.0</v>
      </c>
      <c r="C224" s="4" t="str">
        <f t="shared" si="1"/>
        <v>September</v>
      </c>
      <c r="D224" s="3" t="s">
        <v>23</v>
      </c>
      <c r="E224" s="3" t="s">
        <v>15</v>
      </c>
      <c r="F224" s="3" t="s">
        <v>33</v>
      </c>
      <c r="G224" s="3" t="str">
        <f>VLOOKUP(F224, 'KODE PESAWAT'!$A$2:$C$42, 3, FALSE)</f>
        <v>Garuda Indonesia Group</v>
      </c>
      <c r="H224" s="10">
        <v>1785000.0</v>
      </c>
      <c r="I224" s="10">
        <v>1695750.0</v>
      </c>
      <c r="J224" s="10">
        <f t="shared" si="2"/>
        <v>89250</v>
      </c>
      <c r="K224" s="11">
        <f t="shared" si="3"/>
        <v>0.05</v>
      </c>
      <c r="L224" s="3" t="str">
        <f t="shared" si="4"/>
        <v>Normal</v>
      </c>
      <c r="M224" s="10">
        <f t="shared" si="5"/>
        <v>-89250</v>
      </c>
      <c r="N224" s="3" t="str">
        <f t="shared" si="6"/>
        <v>Issued</v>
      </c>
      <c r="O224" s="3" t="str">
        <f t="shared" si="7"/>
        <v>PROFIT</v>
      </c>
      <c r="P224" s="3">
        <f t="shared" si="8"/>
        <v>1</v>
      </c>
      <c r="Q224" s="3">
        <f t="shared" si="9"/>
        <v>1</v>
      </c>
      <c r="R224" s="12">
        <f t="shared" si="10"/>
        <v>0</v>
      </c>
    </row>
    <row r="225">
      <c r="A225" s="3" t="s">
        <v>260</v>
      </c>
      <c r="B225" s="4">
        <v>46126.0</v>
      </c>
      <c r="C225" s="4" t="str">
        <f t="shared" si="1"/>
        <v>April</v>
      </c>
      <c r="D225" s="3" t="s">
        <v>14</v>
      </c>
      <c r="E225" s="3" t="s">
        <v>15</v>
      </c>
      <c r="F225" s="3" t="s">
        <v>63</v>
      </c>
      <c r="G225" s="3" t="str">
        <f>VLOOKUP(F225, 'KODE PESAWAT'!$A$2:$C$42, 3, FALSE)</f>
        <v>Lion Air Group</v>
      </c>
      <c r="H225" s="10">
        <v>933000.0</v>
      </c>
      <c r="I225" s="10">
        <v>1306200.0</v>
      </c>
      <c r="J225" s="10">
        <f t="shared" si="2"/>
        <v>-373200</v>
      </c>
      <c r="K225" s="11">
        <f t="shared" si="3"/>
        <v>-0.4</v>
      </c>
      <c r="L225" s="3" t="str">
        <f t="shared" si="4"/>
        <v>Fare Increase</v>
      </c>
      <c r="M225" s="10">
        <f t="shared" si="5"/>
        <v>373200</v>
      </c>
      <c r="N225" s="3" t="str">
        <f t="shared" si="6"/>
        <v>Issued</v>
      </c>
      <c r="O225" s="3" t="str">
        <f t="shared" si="7"/>
        <v>LOSS</v>
      </c>
      <c r="P225" s="3">
        <f t="shared" si="8"/>
        <v>1</v>
      </c>
      <c r="Q225" s="3">
        <f t="shared" si="9"/>
        <v>0</v>
      </c>
      <c r="R225" s="12">
        <f t="shared" si="10"/>
        <v>0</v>
      </c>
    </row>
    <row r="226">
      <c r="A226" s="3" t="s">
        <v>261</v>
      </c>
      <c r="B226" s="4">
        <v>46228.0</v>
      </c>
      <c r="C226" s="4" t="str">
        <f t="shared" si="1"/>
        <v>July</v>
      </c>
      <c r="D226" s="3" t="s">
        <v>25</v>
      </c>
      <c r="E226" s="3" t="s">
        <v>15</v>
      </c>
      <c r="F226" s="3" t="s">
        <v>61</v>
      </c>
      <c r="G226" s="3" t="str">
        <f>VLOOKUP(F226, 'KODE PESAWAT'!$A$2:$C$42, 3, FALSE)</f>
        <v>Vietravel Group</v>
      </c>
      <c r="H226" s="10">
        <v>9103000.0</v>
      </c>
      <c r="I226" s="10">
        <v>1.046845E7</v>
      </c>
      <c r="J226" s="10">
        <f t="shared" si="2"/>
        <v>-1365450</v>
      </c>
      <c r="K226" s="11">
        <f t="shared" si="3"/>
        <v>-0.15</v>
      </c>
      <c r="L226" s="3" t="str">
        <f t="shared" si="4"/>
        <v>Fare Increase</v>
      </c>
      <c r="M226" s="10">
        <f t="shared" si="5"/>
        <v>1365450</v>
      </c>
      <c r="N226" s="3" t="str">
        <f t="shared" si="6"/>
        <v>Issued</v>
      </c>
      <c r="O226" s="3" t="str">
        <f t="shared" si="7"/>
        <v>LOSS</v>
      </c>
      <c r="P226" s="3">
        <f t="shared" si="8"/>
        <v>1</v>
      </c>
      <c r="Q226" s="3">
        <f t="shared" si="9"/>
        <v>0</v>
      </c>
      <c r="R226" s="12">
        <f t="shared" si="10"/>
        <v>0</v>
      </c>
    </row>
    <row r="227">
      <c r="A227" s="3" t="s">
        <v>262</v>
      </c>
      <c r="B227" s="4">
        <v>46184.0</v>
      </c>
      <c r="C227" s="4" t="str">
        <f t="shared" si="1"/>
        <v>June</v>
      </c>
      <c r="D227" s="3" t="s">
        <v>25</v>
      </c>
      <c r="E227" s="3" t="s">
        <v>15</v>
      </c>
      <c r="F227" s="3" t="s">
        <v>61</v>
      </c>
      <c r="G227" s="3" t="str">
        <f>VLOOKUP(F227, 'KODE PESAWAT'!$A$2:$C$42, 3, FALSE)</f>
        <v>Vietravel Group</v>
      </c>
      <c r="H227" s="10">
        <v>1441000.0</v>
      </c>
      <c r="I227" s="10">
        <v>1657149.9999999998</v>
      </c>
      <c r="J227" s="10">
        <f t="shared" si="2"/>
        <v>-216150</v>
      </c>
      <c r="K227" s="11">
        <f t="shared" si="3"/>
        <v>-0.15</v>
      </c>
      <c r="L227" s="3" t="str">
        <f t="shared" si="4"/>
        <v>Fare Increase</v>
      </c>
      <c r="M227" s="10">
        <f t="shared" si="5"/>
        <v>216150</v>
      </c>
      <c r="N227" s="3" t="str">
        <f t="shared" si="6"/>
        <v>Issued</v>
      </c>
      <c r="O227" s="3" t="str">
        <f t="shared" si="7"/>
        <v>LOSS</v>
      </c>
      <c r="P227" s="3">
        <f t="shared" si="8"/>
        <v>1</v>
      </c>
      <c r="Q227" s="3">
        <f t="shared" si="9"/>
        <v>0</v>
      </c>
      <c r="R227" s="12">
        <f t="shared" si="10"/>
        <v>0</v>
      </c>
    </row>
    <row r="228">
      <c r="A228" s="3" t="s">
        <v>263</v>
      </c>
      <c r="B228" s="4">
        <v>46358.0</v>
      </c>
      <c r="C228" s="4" t="str">
        <f t="shared" si="1"/>
        <v>December</v>
      </c>
      <c r="D228" s="3" t="s">
        <v>18</v>
      </c>
      <c r="E228" s="3" t="s">
        <v>11</v>
      </c>
      <c r="F228" s="3" t="s">
        <v>19</v>
      </c>
      <c r="G228" s="3" t="str">
        <f>VLOOKUP(F228, 'KODE PESAWAT'!$A$2:$C$42, 3, FALSE)</f>
        <v>Lion Air Group</v>
      </c>
      <c r="H228" s="10">
        <v>951000.0</v>
      </c>
      <c r="I228" s="10">
        <v>903450.0</v>
      </c>
      <c r="J228" s="10">
        <f t="shared" si="2"/>
        <v>47550</v>
      </c>
      <c r="K228" s="11">
        <f t="shared" si="3"/>
        <v>0.05</v>
      </c>
      <c r="L228" s="3" t="str">
        <f t="shared" si="4"/>
        <v>Normal</v>
      </c>
      <c r="M228" s="10">
        <f t="shared" si="5"/>
        <v>-47550</v>
      </c>
      <c r="N228" s="3" t="str">
        <f t="shared" si="6"/>
        <v>Issued</v>
      </c>
      <c r="O228" s="3" t="str">
        <f t="shared" si="7"/>
        <v>PROFIT</v>
      </c>
      <c r="P228" s="3">
        <f t="shared" si="8"/>
        <v>1</v>
      </c>
      <c r="Q228" s="3">
        <f t="shared" si="9"/>
        <v>1</v>
      </c>
      <c r="R228" s="12">
        <f t="shared" si="10"/>
        <v>0</v>
      </c>
    </row>
    <row r="229">
      <c r="A229" s="3" t="s">
        <v>264</v>
      </c>
      <c r="B229" s="4">
        <v>46306.0</v>
      </c>
      <c r="C229" s="4" t="str">
        <f t="shared" si="1"/>
        <v>October</v>
      </c>
      <c r="D229" s="3" t="s">
        <v>23</v>
      </c>
      <c r="E229" s="3" t="s">
        <v>15</v>
      </c>
      <c r="F229" s="3" t="s">
        <v>33</v>
      </c>
      <c r="G229" s="3" t="str">
        <f>VLOOKUP(F229, 'KODE PESAWAT'!$A$2:$C$42, 3, FALSE)</f>
        <v>Garuda Indonesia Group</v>
      </c>
      <c r="H229" s="10">
        <v>1017000.0</v>
      </c>
      <c r="I229" s="10">
        <v>1423800.0</v>
      </c>
      <c r="J229" s="10">
        <f t="shared" si="2"/>
        <v>-406800</v>
      </c>
      <c r="K229" s="11">
        <f t="shared" si="3"/>
        <v>-0.4</v>
      </c>
      <c r="L229" s="3" t="str">
        <f t="shared" si="4"/>
        <v>Fare Increase</v>
      </c>
      <c r="M229" s="10">
        <f t="shared" si="5"/>
        <v>406800</v>
      </c>
      <c r="N229" s="3" t="str">
        <f t="shared" si="6"/>
        <v>Issued</v>
      </c>
      <c r="O229" s="3" t="str">
        <f t="shared" si="7"/>
        <v>LOSS</v>
      </c>
      <c r="P229" s="3">
        <f t="shared" si="8"/>
        <v>1</v>
      </c>
      <c r="Q229" s="3">
        <f t="shared" si="9"/>
        <v>0</v>
      </c>
      <c r="R229" s="12">
        <f t="shared" si="10"/>
        <v>0</v>
      </c>
    </row>
    <row r="230">
      <c r="A230" s="3" t="s">
        <v>265</v>
      </c>
      <c r="B230" s="4">
        <v>46360.0</v>
      </c>
      <c r="C230" s="4" t="str">
        <f t="shared" si="1"/>
        <v>December</v>
      </c>
      <c r="D230" s="3" t="s">
        <v>30</v>
      </c>
      <c r="E230" s="3" t="s">
        <v>15</v>
      </c>
      <c r="F230" s="3" t="s">
        <v>21</v>
      </c>
      <c r="G230" s="3" t="str">
        <f>VLOOKUP(F230, 'KODE PESAWAT'!$A$2:$C$42, 3, FALSE)</f>
        <v>Singapore Airlines Group</v>
      </c>
      <c r="H230" s="10">
        <v>633000.0</v>
      </c>
      <c r="I230" s="10">
        <v>727950.0</v>
      </c>
      <c r="J230" s="10">
        <f t="shared" si="2"/>
        <v>-94950</v>
      </c>
      <c r="K230" s="11">
        <f t="shared" si="3"/>
        <v>-0.15</v>
      </c>
      <c r="L230" s="3" t="str">
        <f t="shared" si="4"/>
        <v>Fare Increase</v>
      </c>
      <c r="M230" s="10">
        <f t="shared" si="5"/>
        <v>94950</v>
      </c>
      <c r="N230" s="3" t="str">
        <f t="shared" si="6"/>
        <v>Issued</v>
      </c>
      <c r="O230" s="3" t="str">
        <f t="shared" si="7"/>
        <v>LOSS</v>
      </c>
      <c r="P230" s="3">
        <f t="shared" si="8"/>
        <v>1</v>
      </c>
      <c r="Q230" s="3">
        <f t="shared" si="9"/>
        <v>0</v>
      </c>
      <c r="R230" s="12">
        <f t="shared" si="10"/>
        <v>0</v>
      </c>
    </row>
    <row r="231">
      <c r="A231" s="3" t="s">
        <v>266</v>
      </c>
      <c r="B231" s="4">
        <v>46343.0</v>
      </c>
      <c r="C231" s="4" t="str">
        <f t="shared" si="1"/>
        <v>November</v>
      </c>
      <c r="D231" s="3" t="s">
        <v>30</v>
      </c>
      <c r="E231" s="3" t="s">
        <v>15</v>
      </c>
      <c r="F231" s="3" t="s">
        <v>37</v>
      </c>
      <c r="G231" s="3" t="str">
        <f>VLOOKUP(F231, 'KODE PESAWAT'!$A$2:$C$42, 3, FALSE)</f>
        <v>Lion Air Group</v>
      </c>
      <c r="H231" s="10">
        <v>1.0017E7</v>
      </c>
      <c r="I231" s="10">
        <v>1.40238E7</v>
      </c>
      <c r="J231" s="10">
        <f t="shared" si="2"/>
        <v>-4006800</v>
      </c>
      <c r="K231" s="11">
        <f t="shared" si="3"/>
        <v>-0.4</v>
      </c>
      <c r="L231" s="3" t="str">
        <f t="shared" si="4"/>
        <v>Fare Increase</v>
      </c>
      <c r="M231" s="10">
        <f t="shared" si="5"/>
        <v>4006800</v>
      </c>
      <c r="N231" s="3" t="str">
        <f t="shared" si="6"/>
        <v>Issued</v>
      </c>
      <c r="O231" s="3" t="str">
        <f t="shared" si="7"/>
        <v>LOSS</v>
      </c>
      <c r="P231" s="3">
        <f t="shared" si="8"/>
        <v>1</v>
      </c>
      <c r="Q231" s="3">
        <f t="shared" si="9"/>
        <v>0</v>
      </c>
      <c r="R231" s="12">
        <f t="shared" si="10"/>
        <v>0</v>
      </c>
    </row>
    <row r="232">
      <c r="A232" s="3" t="s">
        <v>267</v>
      </c>
      <c r="B232" s="4">
        <v>46365.0</v>
      </c>
      <c r="C232" s="4" t="str">
        <f t="shared" si="1"/>
        <v>December</v>
      </c>
      <c r="D232" s="3" t="s">
        <v>30</v>
      </c>
      <c r="E232" s="3" t="s">
        <v>15</v>
      </c>
      <c r="F232" s="3" t="s">
        <v>268</v>
      </c>
      <c r="G232" s="3" t="str">
        <f>VLOOKUP(F232, 'KODE PESAWAT'!$A$2:$C$42, 3, FALSE)</f>
        <v>China Airlines Group</v>
      </c>
      <c r="H232" s="10">
        <v>729000.0</v>
      </c>
      <c r="I232" s="10">
        <v>838349.9999999999</v>
      </c>
      <c r="J232" s="10">
        <f t="shared" si="2"/>
        <v>-109350</v>
      </c>
      <c r="K232" s="11">
        <f t="shared" si="3"/>
        <v>-0.15</v>
      </c>
      <c r="L232" s="3" t="str">
        <f t="shared" si="4"/>
        <v>Fare Increase</v>
      </c>
      <c r="M232" s="10">
        <f t="shared" si="5"/>
        <v>109350</v>
      </c>
      <c r="N232" s="3" t="str">
        <f t="shared" si="6"/>
        <v>Issued</v>
      </c>
      <c r="O232" s="3" t="str">
        <f t="shared" si="7"/>
        <v>LOSS</v>
      </c>
      <c r="P232" s="3">
        <f t="shared" si="8"/>
        <v>1</v>
      </c>
      <c r="Q232" s="3">
        <f t="shared" si="9"/>
        <v>0</v>
      </c>
      <c r="R232" s="12">
        <f t="shared" si="10"/>
        <v>0</v>
      </c>
    </row>
    <row r="233">
      <c r="A233" s="3" t="s">
        <v>269</v>
      </c>
      <c r="B233" s="4">
        <v>46034.0</v>
      </c>
      <c r="C233" s="4" t="str">
        <f t="shared" si="1"/>
        <v>January</v>
      </c>
      <c r="D233" s="3" t="s">
        <v>18</v>
      </c>
      <c r="E233" s="3" t="s">
        <v>11</v>
      </c>
      <c r="F233" s="3" t="s">
        <v>12</v>
      </c>
      <c r="G233" s="3" t="str">
        <f>VLOOKUP(F233, 'KODE PESAWAT'!$A$2:$C$42, 3, FALSE)</f>
        <v>AirAsia Group</v>
      </c>
      <c r="H233" s="10">
        <v>551000.0</v>
      </c>
      <c r="I233" s="10">
        <v>633650.0</v>
      </c>
      <c r="J233" s="10">
        <f t="shared" si="2"/>
        <v>-82650</v>
      </c>
      <c r="K233" s="11">
        <f t="shared" si="3"/>
        <v>-0.15</v>
      </c>
      <c r="L233" s="3" t="str">
        <f t="shared" si="4"/>
        <v>Fare Increase</v>
      </c>
      <c r="M233" s="10">
        <f t="shared" si="5"/>
        <v>82650</v>
      </c>
      <c r="N233" s="3" t="str">
        <f t="shared" si="6"/>
        <v>Issued</v>
      </c>
      <c r="O233" s="3" t="str">
        <f t="shared" si="7"/>
        <v>LOSS</v>
      </c>
      <c r="P233" s="3">
        <f t="shared" si="8"/>
        <v>1</v>
      </c>
      <c r="Q233" s="3">
        <f t="shared" si="9"/>
        <v>0</v>
      </c>
      <c r="R233" s="12">
        <f t="shared" si="10"/>
        <v>0</v>
      </c>
    </row>
    <row r="234">
      <c r="A234" s="3" t="s">
        <v>270</v>
      </c>
      <c r="B234" s="4">
        <v>46257.0</v>
      </c>
      <c r="C234" s="4" t="str">
        <f t="shared" si="1"/>
        <v>August</v>
      </c>
      <c r="D234" s="3" t="s">
        <v>10</v>
      </c>
      <c r="E234" s="3" t="s">
        <v>11</v>
      </c>
      <c r="F234" s="3" t="s">
        <v>21</v>
      </c>
      <c r="G234" s="3" t="str">
        <f>VLOOKUP(F234, 'KODE PESAWAT'!$A$2:$C$42, 3, FALSE)</f>
        <v>Singapore Airlines Group</v>
      </c>
      <c r="H234" s="10">
        <v>1720000.0</v>
      </c>
      <c r="I234" s="10">
        <v>2408000.0</v>
      </c>
      <c r="J234" s="10">
        <f t="shared" si="2"/>
        <v>-688000</v>
      </c>
      <c r="K234" s="11">
        <f t="shared" si="3"/>
        <v>-0.4</v>
      </c>
      <c r="L234" s="3" t="str">
        <f t="shared" si="4"/>
        <v>Fare Increase</v>
      </c>
      <c r="M234" s="10">
        <f t="shared" si="5"/>
        <v>688000</v>
      </c>
      <c r="N234" s="3" t="str">
        <f t="shared" si="6"/>
        <v>Issued</v>
      </c>
      <c r="O234" s="3" t="str">
        <f t="shared" si="7"/>
        <v>LOSS</v>
      </c>
      <c r="P234" s="3">
        <f t="shared" si="8"/>
        <v>1</v>
      </c>
      <c r="Q234" s="3">
        <f t="shared" si="9"/>
        <v>0</v>
      </c>
      <c r="R234" s="12">
        <f t="shared" si="10"/>
        <v>0</v>
      </c>
    </row>
    <row r="235">
      <c r="A235" s="3" t="s">
        <v>271</v>
      </c>
      <c r="B235" s="4">
        <v>46196.0</v>
      </c>
      <c r="C235" s="4" t="str">
        <f t="shared" si="1"/>
        <v>June</v>
      </c>
      <c r="D235" s="3" t="s">
        <v>25</v>
      </c>
      <c r="E235" s="3" t="s">
        <v>15</v>
      </c>
      <c r="F235" s="3" t="s">
        <v>42</v>
      </c>
      <c r="G235" s="3" t="str">
        <f>VLOOKUP(F235, 'KODE PESAWAT'!$A$2:$C$42, 3, FALSE)</f>
        <v>Vietnam Airlines Group</v>
      </c>
      <c r="H235" s="10">
        <v>896000.0</v>
      </c>
      <c r="I235" s="10">
        <v>1030399.9999999999</v>
      </c>
      <c r="J235" s="10">
        <f t="shared" si="2"/>
        <v>-134400</v>
      </c>
      <c r="K235" s="11">
        <f t="shared" si="3"/>
        <v>-0.15</v>
      </c>
      <c r="L235" s="3" t="str">
        <f t="shared" si="4"/>
        <v>Fare Increase</v>
      </c>
      <c r="M235" s="10">
        <f t="shared" si="5"/>
        <v>134400</v>
      </c>
      <c r="N235" s="3" t="str">
        <f t="shared" si="6"/>
        <v>Issued</v>
      </c>
      <c r="O235" s="3" t="str">
        <f t="shared" si="7"/>
        <v>LOSS</v>
      </c>
      <c r="P235" s="3">
        <f t="shared" si="8"/>
        <v>1</v>
      </c>
      <c r="Q235" s="3">
        <f t="shared" si="9"/>
        <v>0</v>
      </c>
      <c r="R235" s="12">
        <f t="shared" si="10"/>
        <v>0</v>
      </c>
    </row>
    <row r="236">
      <c r="A236" s="3" t="s">
        <v>272</v>
      </c>
      <c r="B236" s="4">
        <v>46245.0</v>
      </c>
      <c r="C236" s="4" t="str">
        <f t="shared" si="1"/>
        <v>August</v>
      </c>
      <c r="D236" s="3" t="s">
        <v>23</v>
      </c>
      <c r="E236" s="3" t="s">
        <v>15</v>
      </c>
      <c r="F236" s="3" t="s">
        <v>19</v>
      </c>
      <c r="G236" s="3" t="str">
        <f>VLOOKUP(F236, 'KODE PESAWAT'!$A$2:$C$42, 3, FALSE)</f>
        <v>Lion Air Group</v>
      </c>
      <c r="H236" s="10">
        <v>1111000.0</v>
      </c>
      <c r="I236" s="10">
        <v>2777500.0</v>
      </c>
      <c r="J236" s="10">
        <f t="shared" si="2"/>
        <v>-1666500</v>
      </c>
      <c r="K236" s="11">
        <f t="shared" si="3"/>
        <v>-1.5</v>
      </c>
      <c r="L236" s="3" t="str">
        <f t="shared" si="4"/>
        <v>Over Buffer</v>
      </c>
      <c r="M236" s="10">
        <f t="shared" si="5"/>
        <v>-1111000</v>
      </c>
      <c r="N236" s="3" t="str">
        <f t="shared" si="6"/>
        <v>Refund</v>
      </c>
      <c r="O236" s="3" t="str">
        <f t="shared" si="7"/>
        <v>N/A</v>
      </c>
      <c r="P236" s="3">
        <f t="shared" si="8"/>
        <v>0</v>
      </c>
      <c r="Q236" s="3">
        <f t="shared" si="9"/>
        <v>0</v>
      </c>
      <c r="R236" s="12">
        <f t="shared" si="10"/>
        <v>1</v>
      </c>
    </row>
    <row r="237">
      <c r="A237" s="3" t="s">
        <v>273</v>
      </c>
      <c r="B237" s="4">
        <v>46098.0</v>
      </c>
      <c r="C237" s="4" t="str">
        <f t="shared" si="1"/>
        <v>March</v>
      </c>
      <c r="D237" s="3" t="s">
        <v>25</v>
      </c>
      <c r="E237" s="3" t="s">
        <v>15</v>
      </c>
      <c r="F237" s="3" t="s">
        <v>116</v>
      </c>
      <c r="G237" s="3" t="str">
        <f>VLOOKUP(F237, 'KODE PESAWAT'!$A$2:$C$42, 3, FALSE)</f>
        <v>VietJet Group</v>
      </c>
      <c r="H237" s="10">
        <v>1067000.0</v>
      </c>
      <c r="I237" s="10">
        <v>1227050.0</v>
      </c>
      <c r="J237" s="10">
        <f t="shared" si="2"/>
        <v>-160050</v>
      </c>
      <c r="K237" s="11">
        <f t="shared" si="3"/>
        <v>-0.15</v>
      </c>
      <c r="L237" s="3" t="str">
        <f t="shared" si="4"/>
        <v>Fare Increase</v>
      </c>
      <c r="M237" s="10">
        <f t="shared" si="5"/>
        <v>160050</v>
      </c>
      <c r="N237" s="3" t="str">
        <f t="shared" si="6"/>
        <v>Issued</v>
      </c>
      <c r="O237" s="3" t="str">
        <f t="shared" si="7"/>
        <v>LOSS</v>
      </c>
      <c r="P237" s="3">
        <f t="shared" si="8"/>
        <v>1</v>
      </c>
      <c r="Q237" s="3">
        <f t="shared" si="9"/>
        <v>0</v>
      </c>
      <c r="R237" s="12">
        <f t="shared" si="10"/>
        <v>0</v>
      </c>
    </row>
    <row r="238">
      <c r="A238" s="3" t="s">
        <v>274</v>
      </c>
      <c r="B238" s="4">
        <v>46058.0</v>
      </c>
      <c r="C238" s="4" t="str">
        <f t="shared" si="1"/>
        <v>February</v>
      </c>
      <c r="D238" s="3" t="s">
        <v>25</v>
      </c>
      <c r="E238" s="3" t="s">
        <v>15</v>
      </c>
      <c r="F238" s="3" t="s">
        <v>42</v>
      </c>
      <c r="G238" s="3" t="str">
        <f>VLOOKUP(F238, 'KODE PESAWAT'!$A$2:$C$42, 3, FALSE)</f>
        <v>Vietnam Airlines Group</v>
      </c>
      <c r="H238" s="10">
        <v>1276000.0</v>
      </c>
      <c r="I238" s="10">
        <v>3190000.0</v>
      </c>
      <c r="J238" s="10">
        <f t="shared" si="2"/>
        <v>-1914000</v>
      </c>
      <c r="K238" s="11">
        <f t="shared" si="3"/>
        <v>-1.5</v>
      </c>
      <c r="L238" s="3" t="str">
        <f t="shared" si="4"/>
        <v>Over Buffer</v>
      </c>
      <c r="M238" s="10">
        <f t="shared" si="5"/>
        <v>-1276000</v>
      </c>
      <c r="N238" s="3" t="str">
        <f t="shared" si="6"/>
        <v>Refund</v>
      </c>
      <c r="O238" s="3" t="str">
        <f t="shared" si="7"/>
        <v>N/A</v>
      </c>
      <c r="P238" s="3">
        <f t="shared" si="8"/>
        <v>0</v>
      </c>
      <c r="Q238" s="3">
        <f t="shared" si="9"/>
        <v>0</v>
      </c>
      <c r="R238" s="12">
        <f t="shared" si="10"/>
        <v>1</v>
      </c>
    </row>
    <row r="239">
      <c r="A239" s="3" t="s">
        <v>275</v>
      </c>
      <c r="B239" s="4">
        <v>46366.0</v>
      </c>
      <c r="C239" s="4" t="str">
        <f t="shared" si="1"/>
        <v>December</v>
      </c>
      <c r="D239" s="3" t="s">
        <v>25</v>
      </c>
      <c r="E239" s="3" t="s">
        <v>15</v>
      </c>
      <c r="F239" s="3" t="s">
        <v>61</v>
      </c>
      <c r="G239" s="3" t="str">
        <f>VLOOKUP(F239, 'KODE PESAWAT'!$A$2:$C$42, 3, FALSE)</f>
        <v>Vietravel Group</v>
      </c>
      <c r="H239" s="10">
        <v>916000.0</v>
      </c>
      <c r="I239" s="10">
        <v>870200.0</v>
      </c>
      <c r="J239" s="10">
        <f t="shared" si="2"/>
        <v>45800</v>
      </c>
      <c r="K239" s="11">
        <f t="shared" si="3"/>
        <v>0.05</v>
      </c>
      <c r="L239" s="3" t="str">
        <f t="shared" si="4"/>
        <v>Normal</v>
      </c>
      <c r="M239" s="10">
        <f t="shared" si="5"/>
        <v>-45800</v>
      </c>
      <c r="N239" s="3" t="str">
        <f t="shared" si="6"/>
        <v>Issued</v>
      </c>
      <c r="O239" s="3" t="str">
        <f t="shared" si="7"/>
        <v>PROFIT</v>
      </c>
      <c r="P239" s="3">
        <f t="shared" si="8"/>
        <v>1</v>
      </c>
      <c r="Q239" s="3">
        <f t="shared" si="9"/>
        <v>1</v>
      </c>
      <c r="R239" s="12">
        <f t="shared" si="10"/>
        <v>0</v>
      </c>
    </row>
    <row r="240">
      <c r="A240" s="3" t="s">
        <v>276</v>
      </c>
      <c r="B240" s="4">
        <v>46365.0</v>
      </c>
      <c r="C240" s="4" t="str">
        <f t="shared" si="1"/>
        <v>December</v>
      </c>
      <c r="D240" s="3" t="s">
        <v>23</v>
      </c>
      <c r="E240" s="3" t="s">
        <v>15</v>
      </c>
      <c r="F240" s="3" t="s">
        <v>31</v>
      </c>
      <c r="G240" s="3" t="str">
        <f>VLOOKUP(F240, 'KODE PESAWAT'!$A$2:$C$42, 3, FALSE)</f>
        <v>Garuda Indonesia Group</v>
      </c>
      <c r="H240" s="10">
        <v>909000.0</v>
      </c>
      <c r="I240" s="10">
        <v>1045349.9999999999</v>
      </c>
      <c r="J240" s="10">
        <f t="shared" si="2"/>
        <v>-136350</v>
      </c>
      <c r="K240" s="11">
        <f t="shared" si="3"/>
        <v>-0.15</v>
      </c>
      <c r="L240" s="3" t="str">
        <f t="shared" si="4"/>
        <v>Fare Increase</v>
      </c>
      <c r="M240" s="10">
        <f t="shared" si="5"/>
        <v>136350</v>
      </c>
      <c r="N240" s="3" t="str">
        <f t="shared" si="6"/>
        <v>Issued</v>
      </c>
      <c r="O240" s="3" t="str">
        <f t="shared" si="7"/>
        <v>LOSS</v>
      </c>
      <c r="P240" s="3">
        <f t="shared" si="8"/>
        <v>1</v>
      </c>
      <c r="Q240" s="3">
        <f t="shared" si="9"/>
        <v>0</v>
      </c>
      <c r="R240" s="12">
        <f t="shared" si="10"/>
        <v>0</v>
      </c>
    </row>
    <row r="241">
      <c r="A241" s="3" t="s">
        <v>277</v>
      </c>
      <c r="B241" s="4">
        <v>46243.0</v>
      </c>
      <c r="C241" s="4" t="str">
        <f t="shared" si="1"/>
        <v>August</v>
      </c>
      <c r="D241" s="3" t="s">
        <v>25</v>
      </c>
      <c r="E241" s="3" t="s">
        <v>15</v>
      </c>
      <c r="F241" s="3" t="s">
        <v>42</v>
      </c>
      <c r="G241" s="3" t="str">
        <f>VLOOKUP(F241, 'KODE PESAWAT'!$A$2:$C$42, 3, FALSE)</f>
        <v>Vietnam Airlines Group</v>
      </c>
      <c r="H241" s="10">
        <v>1342000.0</v>
      </c>
      <c r="I241" s="10">
        <v>3355000.0</v>
      </c>
      <c r="J241" s="10">
        <f t="shared" si="2"/>
        <v>-2013000</v>
      </c>
      <c r="K241" s="11">
        <f t="shared" si="3"/>
        <v>-1.5</v>
      </c>
      <c r="L241" s="3" t="str">
        <f t="shared" si="4"/>
        <v>Over Buffer</v>
      </c>
      <c r="M241" s="10">
        <f t="shared" si="5"/>
        <v>-1342000</v>
      </c>
      <c r="N241" s="3" t="str">
        <f t="shared" si="6"/>
        <v>Refund</v>
      </c>
      <c r="O241" s="3" t="str">
        <f t="shared" si="7"/>
        <v>N/A</v>
      </c>
      <c r="P241" s="3">
        <f t="shared" si="8"/>
        <v>0</v>
      </c>
      <c r="Q241" s="3">
        <f t="shared" si="9"/>
        <v>0</v>
      </c>
      <c r="R241" s="12">
        <f t="shared" si="10"/>
        <v>1</v>
      </c>
    </row>
    <row r="242">
      <c r="A242" s="3" t="s">
        <v>278</v>
      </c>
      <c r="B242" s="4">
        <v>46184.0</v>
      </c>
      <c r="C242" s="4" t="str">
        <f t="shared" si="1"/>
        <v>June</v>
      </c>
      <c r="D242" s="3" t="s">
        <v>10</v>
      </c>
      <c r="E242" s="3" t="s">
        <v>11</v>
      </c>
      <c r="F242" s="3" t="s">
        <v>35</v>
      </c>
      <c r="G242" s="3" t="str">
        <f>VLOOKUP(F242, 'KODE PESAWAT'!$A$2:$C$42, 3, FALSE)</f>
        <v>Lion Air Group</v>
      </c>
      <c r="H242" s="10">
        <v>9506000.0</v>
      </c>
      <c r="I242" s="10">
        <v>9030700.0</v>
      </c>
      <c r="J242" s="10">
        <f t="shared" si="2"/>
        <v>475300</v>
      </c>
      <c r="K242" s="11">
        <f t="shared" si="3"/>
        <v>0.05</v>
      </c>
      <c r="L242" s="3" t="str">
        <f t="shared" si="4"/>
        <v>Normal</v>
      </c>
      <c r="M242" s="10">
        <f t="shared" si="5"/>
        <v>-475300</v>
      </c>
      <c r="N242" s="3" t="str">
        <f t="shared" si="6"/>
        <v>Issued</v>
      </c>
      <c r="O242" s="3" t="str">
        <f t="shared" si="7"/>
        <v>PROFIT</v>
      </c>
      <c r="P242" s="3">
        <f t="shared" si="8"/>
        <v>1</v>
      </c>
      <c r="Q242" s="3">
        <f t="shared" si="9"/>
        <v>1</v>
      </c>
      <c r="R242" s="12">
        <f t="shared" si="10"/>
        <v>0</v>
      </c>
    </row>
    <row r="243">
      <c r="A243" s="3" t="s">
        <v>279</v>
      </c>
      <c r="B243" s="4">
        <v>46225.0</v>
      </c>
      <c r="C243" s="4" t="str">
        <f t="shared" si="1"/>
        <v>July</v>
      </c>
      <c r="D243" s="3" t="s">
        <v>10</v>
      </c>
      <c r="E243" s="3" t="s">
        <v>11</v>
      </c>
      <c r="F243" s="3" t="s">
        <v>21</v>
      </c>
      <c r="G243" s="3" t="str">
        <f>VLOOKUP(F243, 'KODE PESAWAT'!$A$2:$C$42, 3, FALSE)</f>
        <v>Singapore Airlines Group</v>
      </c>
      <c r="H243" s="10">
        <v>1247000.0</v>
      </c>
      <c r="I243" s="10">
        <v>1434050.0</v>
      </c>
      <c r="J243" s="10">
        <f t="shared" si="2"/>
        <v>-187050</v>
      </c>
      <c r="K243" s="11">
        <f t="shared" si="3"/>
        <v>-0.15</v>
      </c>
      <c r="L243" s="3" t="str">
        <f t="shared" si="4"/>
        <v>Fare Increase</v>
      </c>
      <c r="M243" s="10">
        <f t="shared" si="5"/>
        <v>187050</v>
      </c>
      <c r="N243" s="3" t="str">
        <f t="shared" si="6"/>
        <v>Issued</v>
      </c>
      <c r="O243" s="3" t="str">
        <f t="shared" si="7"/>
        <v>LOSS</v>
      </c>
      <c r="P243" s="3">
        <f t="shared" si="8"/>
        <v>1</v>
      </c>
      <c r="Q243" s="3">
        <f t="shared" si="9"/>
        <v>0</v>
      </c>
      <c r="R243" s="12">
        <f t="shared" si="10"/>
        <v>0</v>
      </c>
    </row>
    <row r="244">
      <c r="A244" s="3" t="s">
        <v>280</v>
      </c>
      <c r="B244" s="4">
        <v>46375.0</v>
      </c>
      <c r="C244" s="4" t="str">
        <f t="shared" si="1"/>
        <v>December</v>
      </c>
      <c r="D244" s="3" t="s">
        <v>25</v>
      </c>
      <c r="E244" s="3" t="s">
        <v>15</v>
      </c>
      <c r="F244" s="3" t="s">
        <v>116</v>
      </c>
      <c r="G244" s="3" t="str">
        <f>VLOOKUP(F244, 'KODE PESAWAT'!$A$2:$C$42, 3, FALSE)</f>
        <v>VietJet Group</v>
      </c>
      <c r="H244" s="10">
        <v>603000.0</v>
      </c>
      <c r="I244" s="10">
        <v>844200.0</v>
      </c>
      <c r="J244" s="10">
        <f t="shared" si="2"/>
        <v>-241200</v>
      </c>
      <c r="K244" s="11">
        <f t="shared" si="3"/>
        <v>-0.4</v>
      </c>
      <c r="L244" s="3" t="str">
        <f t="shared" si="4"/>
        <v>Fare Increase</v>
      </c>
      <c r="M244" s="10">
        <f t="shared" si="5"/>
        <v>241200</v>
      </c>
      <c r="N244" s="3" t="str">
        <f t="shared" si="6"/>
        <v>Issued</v>
      </c>
      <c r="O244" s="3" t="str">
        <f t="shared" si="7"/>
        <v>LOSS</v>
      </c>
      <c r="P244" s="3">
        <f t="shared" si="8"/>
        <v>1</v>
      </c>
      <c r="Q244" s="3">
        <f t="shared" si="9"/>
        <v>0</v>
      </c>
      <c r="R244" s="12">
        <f t="shared" si="10"/>
        <v>0</v>
      </c>
    </row>
    <row r="245">
      <c r="A245" s="3" t="s">
        <v>281</v>
      </c>
      <c r="B245" s="4">
        <v>46094.0</v>
      </c>
      <c r="C245" s="4" t="str">
        <f t="shared" si="1"/>
        <v>March</v>
      </c>
      <c r="D245" s="3" t="s">
        <v>14</v>
      </c>
      <c r="E245" s="3" t="s">
        <v>15</v>
      </c>
      <c r="F245" s="3" t="s">
        <v>63</v>
      </c>
      <c r="G245" s="3" t="str">
        <f>VLOOKUP(F245, 'KODE PESAWAT'!$A$2:$C$42, 3, FALSE)</f>
        <v>Lion Air Group</v>
      </c>
      <c r="H245" s="10">
        <v>1057000.0</v>
      </c>
      <c r="I245" s="10">
        <v>1479800.0</v>
      </c>
      <c r="J245" s="10">
        <f t="shared" si="2"/>
        <v>-422800</v>
      </c>
      <c r="K245" s="11">
        <f t="shared" si="3"/>
        <v>-0.4</v>
      </c>
      <c r="L245" s="3" t="str">
        <f t="shared" si="4"/>
        <v>Fare Increase</v>
      </c>
      <c r="M245" s="10">
        <f t="shared" si="5"/>
        <v>422800</v>
      </c>
      <c r="N245" s="3" t="str">
        <f t="shared" si="6"/>
        <v>Issued</v>
      </c>
      <c r="O245" s="3" t="str">
        <f t="shared" si="7"/>
        <v>LOSS</v>
      </c>
      <c r="P245" s="3">
        <f t="shared" si="8"/>
        <v>1</v>
      </c>
      <c r="Q245" s="3">
        <f t="shared" si="9"/>
        <v>0</v>
      </c>
      <c r="R245" s="12">
        <f t="shared" si="10"/>
        <v>0</v>
      </c>
    </row>
    <row r="246">
      <c r="A246" s="3" t="s">
        <v>282</v>
      </c>
      <c r="B246" s="4">
        <v>46354.0</v>
      </c>
      <c r="C246" s="4" t="str">
        <f t="shared" si="1"/>
        <v>November</v>
      </c>
      <c r="D246" s="3" t="s">
        <v>30</v>
      </c>
      <c r="E246" s="3" t="s">
        <v>15</v>
      </c>
      <c r="F246" s="3" t="s">
        <v>136</v>
      </c>
      <c r="G246" s="3" t="str">
        <f>VLOOKUP(F246, 'KODE PESAWAT'!$A$2:$C$42, 3, FALSE)</f>
        <v>AirAsia Group</v>
      </c>
      <c r="H246" s="10">
        <v>1.2549E7</v>
      </c>
      <c r="I246" s="10">
        <v>1.4431349999999998E7</v>
      </c>
      <c r="J246" s="10">
        <f t="shared" si="2"/>
        <v>-1882350</v>
      </c>
      <c r="K246" s="11">
        <f t="shared" si="3"/>
        <v>-0.15</v>
      </c>
      <c r="L246" s="3" t="str">
        <f t="shared" si="4"/>
        <v>Fare Increase</v>
      </c>
      <c r="M246" s="10">
        <f t="shared" si="5"/>
        <v>1882350</v>
      </c>
      <c r="N246" s="3" t="str">
        <f t="shared" si="6"/>
        <v>Issued</v>
      </c>
      <c r="O246" s="3" t="str">
        <f t="shared" si="7"/>
        <v>LOSS</v>
      </c>
      <c r="P246" s="3">
        <f t="shared" si="8"/>
        <v>1</v>
      </c>
      <c r="Q246" s="3">
        <f t="shared" si="9"/>
        <v>0</v>
      </c>
      <c r="R246" s="12">
        <f t="shared" si="10"/>
        <v>0</v>
      </c>
    </row>
    <row r="247">
      <c r="A247" s="3" t="s">
        <v>283</v>
      </c>
      <c r="B247" s="4">
        <v>46101.0</v>
      </c>
      <c r="C247" s="4" t="str">
        <f t="shared" si="1"/>
        <v>March</v>
      </c>
      <c r="D247" s="3" t="s">
        <v>14</v>
      </c>
      <c r="E247" s="3" t="s">
        <v>15</v>
      </c>
      <c r="F247" s="3" t="s">
        <v>63</v>
      </c>
      <c r="G247" s="3" t="str">
        <f>VLOOKUP(F247, 'KODE PESAWAT'!$A$2:$C$42, 3, FALSE)</f>
        <v>Lion Air Group</v>
      </c>
      <c r="H247" s="10">
        <v>614000.0</v>
      </c>
      <c r="I247" s="10">
        <v>859600.0</v>
      </c>
      <c r="J247" s="10">
        <f t="shared" si="2"/>
        <v>-245600</v>
      </c>
      <c r="K247" s="11">
        <f t="shared" si="3"/>
        <v>-0.4</v>
      </c>
      <c r="L247" s="3" t="str">
        <f t="shared" si="4"/>
        <v>Fare Increase</v>
      </c>
      <c r="M247" s="10">
        <f t="shared" si="5"/>
        <v>245600</v>
      </c>
      <c r="N247" s="3" t="str">
        <f t="shared" si="6"/>
        <v>Issued</v>
      </c>
      <c r="O247" s="3" t="str">
        <f t="shared" si="7"/>
        <v>LOSS</v>
      </c>
      <c r="P247" s="3">
        <f t="shared" si="8"/>
        <v>1</v>
      </c>
      <c r="Q247" s="3">
        <f t="shared" si="9"/>
        <v>0</v>
      </c>
      <c r="R247" s="12">
        <f t="shared" si="10"/>
        <v>0</v>
      </c>
    </row>
    <row r="248">
      <c r="A248" s="3" t="s">
        <v>284</v>
      </c>
      <c r="B248" s="4">
        <v>46072.0</v>
      </c>
      <c r="C248" s="4" t="str">
        <f t="shared" si="1"/>
        <v>February</v>
      </c>
      <c r="D248" s="3" t="s">
        <v>10</v>
      </c>
      <c r="E248" s="3" t="s">
        <v>11</v>
      </c>
      <c r="F248" s="3" t="s">
        <v>35</v>
      </c>
      <c r="G248" s="3" t="str">
        <f>VLOOKUP(F248, 'KODE PESAWAT'!$A$2:$C$42, 3, FALSE)</f>
        <v>Lion Air Group</v>
      </c>
      <c r="H248" s="10">
        <v>1675000.0</v>
      </c>
      <c r="I248" s="10">
        <v>1591250.0</v>
      </c>
      <c r="J248" s="10">
        <f t="shared" si="2"/>
        <v>83750</v>
      </c>
      <c r="K248" s="11">
        <f t="shared" si="3"/>
        <v>0.05</v>
      </c>
      <c r="L248" s="3" t="str">
        <f t="shared" si="4"/>
        <v>Normal</v>
      </c>
      <c r="M248" s="10">
        <f t="shared" si="5"/>
        <v>-83750</v>
      </c>
      <c r="N248" s="3" t="str">
        <f t="shared" si="6"/>
        <v>Issued</v>
      </c>
      <c r="O248" s="3" t="str">
        <f t="shared" si="7"/>
        <v>PROFIT</v>
      </c>
      <c r="P248" s="3">
        <f t="shared" si="8"/>
        <v>1</v>
      </c>
      <c r="Q248" s="3">
        <f t="shared" si="9"/>
        <v>1</v>
      </c>
      <c r="R248" s="12">
        <f t="shared" si="10"/>
        <v>0</v>
      </c>
    </row>
    <row r="249">
      <c r="A249" s="3" t="s">
        <v>285</v>
      </c>
      <c r="B249" s="4">
        <v>46135.0</v>
      </c>
      <c r="C249" s="4" t="str">
        <f t="shared" si="1"/>
        <v>April</v>
      </c>
      <c r="D249" s="3" t="s">
        <v>14</v>
      </c>
      <c r="E249" s="3" t="s">
        <v>15</v>
      </c>
      <c r="F249" s="3" t="s">
        <v>63</v>
      </c>
      <c r="G249" s="3" t="str">
        <f>VLOOKUP(F249, 'KODE PESAWAT'!$A$2:$C$42, 3, FALSE)</f>
        <v>Lion Air Group</v>
      </c>
      <c r="H249" s="10">
        <v>833000.0</v>
      </c>
      <c r="I249" s="10">
        <v>791350.0</v>
      </c>
      <c r="J249" s="10">
        <f t="shared" si="2"/>
        <v>41650</v>
      </c>
      <c r="K249" s="11">
        <f t="shared" si="3"/>
        <v>0.05</v>
      </c>
      <c r="L249" s="3" t="str">
        <f t="shared" si="4"/>
        <v>Normal</v>
      </c>
      <c r="M249" s="10">
        <f t="shared" si="5"/>
        <v>-41650</v>
      </c>
      <c r="N249" s="3" t="str">
        <f t="shared" si="6"/>
        <v>Issued</v>
      </c>
      <c r="O249" s="3" t="str">
        <f t="shared" si="7"/>
        <v>PROFIT</v>
      </c>
      <c r="P249" s="3">
        <f t="shared" si="8"/>
        <v>1</v>
      </c>
      <c r="Q249" s="3">
        <f t="shared" si="9"/>
        <v>1</v>
      </c>
      <c r="R249" s="12">
        <f t="shared" si="10"/>
        <v>0</v>
      </c>
    </row>
    <row r="250">
      <c r="A250" s="3" t="s">
        <v>286</v>
      </c>
      <c r="B250" s="4">
        <v>46279.0</v>
      </c>
      <c r="C250" s="4" t="str">
        <f t="shared" si="1"/>
        <v>September</v>
      </c>
      <c r="D250" s="3" t="s">
        <v>30</v>
      </c>
      <c r="E250" s="3" t="s">
        <v>15</v>
      </c>
      <c r="F250" s="3" t="s">
        <v>26</v>
      </c>
      <c r="G250" s="3" t="str">
        <f>VLOOKUP(F250, 'KODE PESAWAT'!$A$2:$C$42, 3, FALSE)</f>
        <v>VietJet Group</v>
      </c>
      <c r="H250" s="10">
        <v>1642000.0</v>
      </c>
      <c r="I250" s="10">
        <v>1559900.0</v>
      </c>
      <c r="J250" s="10">
        <f t="shared" si="2"/>
        <v>82100</v>
      </c>
      <c r="K250" s="11">
        <f t="shared" si="3"/>
        <v>0.05</v>
      </c>
      <c r="L250" s="3" t="str">
        <f t="shared" si="4"/>
        <v>Normal</v>
      </c>
      <c r="M250" s="10">
        <f t="shared" si="5"/>
        <v>-82100</v>
      </c>
      <c r="N250" s="3" t="str">
        <f t="shared" si="6"/>
        <v>Issued</v>
      </c>
      <c r="O250" s="3" t="str">
        <f t="shared" si="7"/>
        <v>PROFIT</v>
      </c>
      <c r="P250" s="3">
        <f t="shared" si="8"/>
        <v>1</v>
      </c>
      <c r="Q250" s="3">
        <f t="shared" si="9"/>
        <v>1</v>
      </c>
      <c r="R250" s="12">
        <f t="shared" si="10"/>
        <v>0</v>
      </c>
    </row>
    <row r="251">
      <c r="A251" s="3" t="s">
        <v>287</v>
      </c>
      <c r="B251" s="4">
        <v>46096.0</v>
      </c>
      <c r="C251" s="4" t="str">
        <f t="shared" si="1"/>
        <v>March</v>
      </c>
      <c r="D251" s="3" t="s">
        <v>14</v>
      </c>
      <c r="E251" s="3" t="s">
        <v>15</v>
      </c>
      <c r="F251" s="3" t="s">
        <v>37</v>
      </c>
      <c r="G251" s="3" t="str">
        <f>VLOOKUP(F251, 'KODE PESAWAT'!$A$2:$C$42, 3, FALSE)</f>
        <v>Lion Air Group</v>
      </c>
      <c r="H251" s="10">
        <v>1573000.0</v>
      </c>
      <c r="I251" s="10">
        <v>1808949.9999999998</v>
      </c>
      <c r="J251" s="10">
        <f t="shared" si="2"/>
        <v>-235950</v>
      </c>
      <c r="K251" s="11">
        <f t="shared" si="3"/>
        <v>-0.15</v>
      </c>
      <c r="L251" s="3" t="str">
        <f t="shared" si="4"/>
        <v>Fare Increase</v>
      </c>
      <c r="M251" s="10">
        <f t="shared" si="5"/>
        <v>235950</v>
      </c>
      <c r="N251" s="3" t="str">
        <f t="shared" si="6"/>
        <v>Issued</v>
      </c>
      <c r="O251" s="3" t="str">
        <f t="shared" si="7"/>
        <v>LOSS</v>
      </c>
      <c r="P251" s="3">
        <f t="shared" si="8"/>
        <v>1</v>
      </c>
      <c r="Q251" s="3">
        <f t="shared" si="9"/>
        <v>0</v>
      </c>
      <c r="R251" s="12">
        <f t="shared" si="10"/>
        <v>0</v>
      </c>
    </row>
    <row r="252">
      <c r="A252" s="3" t="s">
        <v>288</v>
      </c>
      <c r="B252" s="4">
        <v>46026.0</v>
      </c>
      <c r="C252" s="4" t="str">
        <f t="shared" si="1"/>
        <v>January</v>
      </c>
      <c r="D252" s="3" t="s">
        <v>10</v>
      </c>
      <c r="E252" s="3" t="s">
        <v>11</v>
      </c>
      <c r="F252" s="3" t="s">
        <v>19</v>
      </c>
      <c r="G252" s="3" t="str">
        <f>VLOOKUP(F252, 'KODE PESAWAT'!$A$2:$C$42, 3, FALSE)</f>
        <v>Lion Air Group</v>
      </c>
      <c r="H252" s="10">
        <v>6517000.0</v>
      </c>
      <c r="I252" s="10">
        <v>7494549.999999999</v>
      </c>
      <c r="J252" s="10">
        <f t="shared" si="2"/>
        <v>-977550</v>
      </c>
      <c r="K252" s="11">
        <f t="shared" si="3"/>
        <v>-0.15</v>
      </c>
      <c r="L252" s="3" t="str">
        <f t="shared" si="4"/>
        <v>Fare Increase</v>
      </c>
      <c r="M252" s="10">
        <f t="shared" si="5"/>
        <v>977550</v>
      </c>
      <c r="N252" s="3" t="str">
        <f t="shared" si="6"/>
        <v>Issued</v>
      </c>
      <c r="O252" s="3" t="str">
        <f t="shared" si="7"/>
        <v>LOSS</v>
      </c>
      <c r="P252" s="3">
        <f t="shared" si="8"/>
        <v>1</v>
      </c>
      <c r="Q252" s="3">
        <f t="shared" si="9"/>
        <v>0</v>
      </c>
      <c r="R252" s="12">
        <f t="shared" si="10"/>
        <v>0</v>
      </c>
    </row>
    <row r="253">
      <c r="A253" s="3" t="s">
        <v>289</v>
      </c>
      <c r="B253" s="4">
        <v>46146.0</v>
      </c>
      <c r="C253" s="4" t="str">
        <f t="shared" si="1"/>
        <v>May</v>
      </c>
      <c r="D253" s="3" t="s">
        <v>25</v>
      </c>
      <c r="E253" s="3" t="s">
        <v>15</v>
      </c>
      <c r="F253" s="3" t="s">
        <v>61</v>
      </c>
      <c r="G253" s="3" t="str">
        <f>VLOOKUP(F253, 'KODE PESAWAT'!$A$2:$C$42, 3, FALSE)</f>
        <v>Vietravel Group</v>
      </c>
      <c r="H253" s="10">
        <v>818000.0</v>
      </c>
      <c r="I253" s="10">
        <v>2045000.0</v>
      </c>
      <c r="J253" s="10">
        <f t="shared" si="2"/>
        <v>-1227000</v>
      </c>
      <c r="K253" s="11">
        <f t="shared" si="3"/>
        <v>-1.5</v>
      </c>
      <c r="L253" s="3" t="str">
        <f t="shared" si="4"/>
        <v>Over Buffer</v>
      </c>
      <c r="M253" s="10">
        <f t="shared" si="5"/>
        <v>-818000</v>
      </c>
      <c r="N253" s="3" t="str">
        <f t="shared" si="6"/>
        <v>Refund</v>
      </c>
      <c r="O253" s="3" t="str">
        <f t="shared" si="7"/>
        <v>N/A</v>
      </c>
      <c r="P253" s="3">
        <f t="shared" si="8"/>
        <v>0</v>
      </c>
      <c r="Q253" s="3">
        <f t="shared" si="9"/>
        <v>0</v>
      </c>
      <c r="R253" s="12">
        <f t="shared" si="10"/>
        <v>1</v>
      </c>
    </row>
    <row r="254">
      <c r="A254" s="3" t="s">
        <v>290</v>
      </c>
      <c r="B254" s="4">
        <v>46138.0</v>
      </c>
      <c r="C254" s="4" t="str">
        <f t="shared" si="1"/>
        <v>April</v>
      </c>
      <c r="D254" s="3" t="s">
        <v>14</v>
      </c>
      <c r="E254" s="3" t="s">
        <v>15</v>
      </c>
      <c r="F254" s="3" t="s">
        <v>16</v>
      </c>
      <c r="G254" s="3" t="str">
        <f>VLOOKUP(F254, 'KODE PESAWAT'!$A$2:$C$42, 3, FALSE)</f>
        <v>Thai Airways Group (Associate)</v>
      </c>
      <c r="H254" s="10">
        <v>1.2848E7</v>
      </c>
      <c r="I254" s="10">
        <v>1.79872E7</v>
      </c>
      <c r="J254" s="10">
        <f t="shared" si="2"/>
        <v>-5139200</v>
      </c>
      <c r="K254" s="11">
        <f t="shared" si="3"/>
        <v>-0.4</v>
      </c>
      <c r="L254" s="3" t="str">
        <f t="shared" si="4"/>
        <v>Fare Increase</v>
      </c>
      <c r="M254" s="10">
        <f t="shared" si="5"/>
        <v>5139200</v>
      </c>
      <c r="N254" s="3" t="str">
        <f t="shared" si="6"/>
        <v>Issued</v>
      </c>
      <c r="O254" s="3" t="str">
        <f t="shared" si="7"/>
        <v>LOSS</v>
      </c>
      <c r="P254" s="3">
        <f t="shared" si="8"/>
        <v>1</v>
      </c>
      <c r="Q254" s="3">
        <f t="shared" si="9"/>
        <v>0</v>
      </c>
      <c r="R254" s="12">
        <f t="shared" si="10"/>
        <v>0</v>
      </c>
    </row>
    <row r="255">
      <c r="A255" s="3" t="s">
        <v>291</v>
      </c>
      <c r="B255" s="4">
        <v>46289.0</v>
      </c>
      <c r="C255" s="4" t="str">
        <f t="shared" si="1"/>
        <v>September</v>
      </c>
      <c r="D255" s="3" t="s">
        <v>23</v>
      </c>
      <c r="E255" s="3" t="s">
        <v>15</v>
      </c>
      <c r="F255" s="3" t="s">
        <v>19</v>
      </c>
      <c r="G255" s="3" t="str">
        <f>VLOOKUP(F255, 'KODE PESAWAT'!$A$2:$C$42, 3, FALSE)</f>
        <v>Lion Air Group</v>
      </c>
      <c r="H255" s="10">
        <v>1070000.0</v>
      </c>
      <c r="I255" s="10">
        <v>1498000.0</v>
      </c>
      <c r="J255" s="10">
        <f t="shared" si="2"/>
        <v>-428000</v>
      </c>
      <c r="K255" s="11">
        <f t="shared" si="3"/>
        <v>-0.4</v>
      </c>
      <c r="L255" s="3" t="str">
        <f t="shared" si="4"/>
        <v>Fare Increase</v>
      </c>
      <c r="M255" s="10">
        <f t="shared" si="5"/>
        <v>428000</v>
      </c>
      <c r="N255" s="3" t="str">
        <f t="shared" si="6"/>
        <v>Issued</v>
      </c>
      <c r="O255" s="3" t="str">
        <f t="shared" si="7"/>
        <v>LOSS</v>
      </c>
      <c r="P255" s="3">
        <f t="shared" si="8"/>
        <v>1</v>
      </c>
      <c r="Q255" s="3">
        <f t="shared" si="9"/>
        <v>0</v>
      </c>
      <c r="R255" s="12">
        <f t="shared" si="10"/>
        <v>0</v>
      </c>
    </row>
    <row r="256">
      <c r="A256" s="3" t="s">
        <v>292</v>
      </c>
      <c r="B256" s="4">
        <v>46087.0</v>
      </c>
      <c r="C256" s="4" t="str">
        <f t="shared" si="1"/>
        <v>March</v>
      </c>
      <c r="D256" s="3" t="s">
        <v>25</v>
      </c>
      <c r="E256" s="3" t="s">
        <v>15</v>
      </c>
      <c r="F256" s="3" t="s">
        <v>26</v>
      </c>
      <c r="G256" s="3" t="str">
        <f>VLOOKUP(F256, 'KODE PESAWAT'!$A$2:$C$42, 3, FALSE)</f>
        <v>VietJet Group</v>
      </c>
      <c r="H256" s="10">
        <v>9776000.0</v>
      </c>
      <c r="I256" s="10">
        <v>9287200.0</v>
      </c>
      <c r="J256" s="10">
        <f t="shared" si="2"/>
        <v>488800</v>
      </c>
      <c r="K256" s="11">
        <f t="shared" si="3"/>
        <v>0.05</v>
      </c>
      <c r="L256" s="3" t="str">
        <f t="shared" si="4"/>
        <v>Normal</v>
      </c>
      <c r="M256" s="10">
        <f t="shared" si="5"/>
        <v>-488800</v>
      </c>
      <c r="N256" s="3" t="str">
        <f t="shared" si="6"/>
        <v>Issued</v>
      </c>
      <c r="O256" s="3" t="str">
        <f t="shared" si="7"/>
        <v>PROFIT</v>
      </c>
      <c r="P256" s="3">
        <f t="shared" si="8"/>
        <v>1</v>
      </c>
      <c r="Q256" s="3">
        <f t="shared" si="9"/>
        <v>1</v>
      </c>
      <c r="R256" s="12">
        <f t="shared" si="10"/>
        <v>0</v>
      </c>
    </row>
    <row r="257">
      <c r="A257" s="3" t="s">
        <v>293</v>
      </c>
      <c r="B257" s="4">
        <v>46030.0</v>
      </c>
      <c r="C257" s="4" t="str">
        <f t="shared" si="1"/>
        <v>January</v>
      </c>
      <c r="D257" s="3" t="s">
        <v>10</v>
      </c>
      <c r="E257" s="3" t="s">
        <v>11</v>
      </c>
      <c r="F257" s="3" t="s">
        <v>21</v>
      </c>
      <c r="G257" s="3" t="str">
        <f>VLOOKUP(F257, 'KODE PESAWAT'!$A$2:$C$42, 3, FALSE)</f>
        <v>Singapore Airlines Group</v>
      </c>
      <c r="H257" s="10">
        <v>1328000.0</v>
      </c>
      <c r="I257" s="10">
        <v>1261600.0</v>
      </c>
      <c r="J257" s="10">
        <f t="shared" si="2"/>
        <v>66400</v>
      </c>
      <c r="K257" s="11">
        <f t="shared" si="3"/>
        <v>0.05</v>
      </c>
      <c r="L257" s="3" t="str">
        <f t="shared" si="4"/>
        <v>Normal</v>
      </c>
      <c r="M257" s="10">
        <f t="shared" si="5"/>
        <v>-66400</v>
      </c>
      <c r="N257" s="3" t="str">
        <f t="shared" si="6"/>
        <v>Issued</v>
      </c>
      <c r="O257" s="3" t="str">
        <f t="shared" si="7"/>
        <v>PROFIT</v>
      </c>
      <c r="P257" s="3">
        <f t="shared" si="8"/>
        <v>1</v>
      </c>
      <c r="Q257" s="3">
        <f t="shared" si="9"/>
        <v>1</v>
      </c>
      <c r="R257" s="12">
        <f t="shared" si="10"/>
        <v>0</v>
      </c>
    </row>
    <row r="258">
      <c r="A258" s="3" t="s">
        <v>294</v>
      </c>
      <c r="B258" s="4">
        <v>46252.0</v>
      </c>
      <c r="C258" s="4" t="str">
        <f t="shared" si="1"/>
        <v>August</v>
      </c>
      <c r="D258" s="3" t="s">
        <v>23</v>
      </c>
      <c r="E258" s="3" t="s">
        <v>15</v>
      </c>
      <c r="F258" s="3" t="s">
        <v>33</v>
      </c>
      <c r="G258" s="3" t="str">
        <f>VLOOKUP(F258, 'KODE PESAWAT'!$A$2:$C$42, 3, FALSE)</f>
        <v>Garuda Indonesia Group</v>
      </c>
      <c r="H258" s="10">
        <v>636000.0</v>
      </c>
      <c r="I258" s="10">
        <v>890400.0</v>
      </c>
      <c r="J258" s="10">
        <f t="shared" si="2"/>
        <v>-254400</v>
      </c>
      <c r="K258" s="11">
        <f t="shared" si="3"/>
        <v>-0.4</v>
      </c>
      <c r="L258" s="3" t="str">
        <f t="shared" si="4"/>
        <v>Fare Increase</v>
      </c>
      <c r="M258" s="10">
        <f t="shared" si="5"/>
        <v>254400</v>
      </c>
      <c r="N258" s="3" t="str">
        <f t="shared" si="6"/>
        <v>Issued</v>
      </c>
      <c r="O258" s="3" t="str">
        <f t="shared" si="7"/>
        <v>LOSS</v>
      </c>
      <c r="P258" s="3">
        <f t="shared" si="8"/>
        <v>1</v>
      </c>
      <c r="Q258" s="3">
        <f t="shared" si="9"/>
        <v>0</v>
      </c>
      <c r="R258" s="12">
        <f t="shared" si="10"/>
        <v>0</v>
      </c>
    </row>
    <row r="259">
      <c r="A259" s="3" t="s">
        <v>295</v>
      </c>
      <c r="B259" s="4">
        <v>46041.0</v>
      </c>
      <c r="C259" s="4" t="str">
        <f t="shared" si="1"/>
        <v>January</v>
      </c>
      <c r="D259" s="3" t="s">
        <v>25</v>
      </c>
      <c r="E259" s="3" t="s">
        <v>15</v>
      </c>
      <c r="F259" s="3" t="s">
        <v>42</v>
      </c>
      <c r="G259" s="3" t="str">
        <f>VLOOKUP(F259, 'KODE PESAWAT'!$A$2:$C$42, 3, FALSE)</f>
        <v>Vietnam Airlines Group</v>
      </c>
      <c r="H259" s="10">
        <v>1.298E7</v>
      </c>
      <c r="I259" s="10">
        <v>1.2331E7</v>
      </c>
      <c r="J259" s="10">
        <f t="shared" si="2"/>
        <v>649000</v>
      </c>
      <c r="K259" s="11">
        <f t="shared" si="3"/>
        <v>0.05</v>
      </c>
      <c r="L259" s="3" t="str">
        <f t="shared" si="4"/>
        <v>Normal</v>
      </c>
      <c r="M259" s="10">
        <f t="shared" si="5"/>
        <v>-649000</v>
      </c>
      <c r="N259" s="3" t="str">
        <f t="shared" si="6"/>
        <v>Issued</v>
      </c>
      <c r="O259" s="3" t="str">
        <f t="shared" si="7"/>
        <v>PROFIT</v>
      </c>
      <c r="P259" s="3">
        <f t="shared" si="8"/>
        <v>1</v>
      </c>
      <c r="Q259" s="3">
        <f t="shared" si="9"/>
        <v>1</v>
      </c>
      <c r="R259" s="12">
        <f t="shared" si="10"/>
        <v>0</v>
      </c>
    </row>
    <row r="260">
      <c r="A260" s="3" t="s">
        <v>296</v>
      </c>
      <c r="B260" s="4">
        <v>46125.0</v>
      </c>
      <c r="C260" s="4" t="str">
        <f t="shared" si="1"/>
        <v>April</v>
      </c>
      <c r="D260" s="3" t="s">
        <v>14</v>
      </c>
      <c r="E260" s="3" t="s">
        <v>15</v>
      </c>
      <c r="F260" s="3" t="s">
        <v>37</v>
      </c>
      <c r="G260" s="3" t="str">
        <f>VLOOKUP(F260, 'KODE PESAWAT'!$A$2:$C$42, 3, FALSE)</f>
        <v>Lion Air Group</v>
      </c>
      <c r="H260" s="10">
        <v>555000.0</v>
      </c>
      <c r="I260" s="10">
        <v>527250.0</v>
      </c>
      <c r="J260" s="10">
        <f t="shared" si="2"/>
        <v>27750</v>
      </c>
      <c r="K260" s="11">
        <f t="shared" si="3"/>
        <v>0.05</v>
      </c>
      <c r="L260" s="3" t="str">
        <f t="shared" si="4"/>
        <v>Normal</v>
      </c>
      <c r="M260" s="10">
        <f t="shared" si="5"/>
        <v>-27750</v>
      </c>
      <c r="N260" s="3" t="str">
        <f t="shared" si="6"/>
        <v>Issued</v>
      </c>
      <c r="O260" s="3" t="str">
        <f t="shared" si="7"/>
        <v>PROFIT</v>
      </c>
      <c r="P260" s="3">
        <f t="shared" si="8"/>
        <v>1</v>
      </c>
      <c r="Q260" s="3">
        <f t="shared" si="9"/>
        <v>1</v>
      </c>
      <c r="R260" s="12">
        <f t="shared" si="10"/>
        <v>0</v>
      </c>
    </row>
    <row r="261">
      <c r="A261" s="3" t="s">
        <v>297</v>
      </c>
      <c r="B261" s="4">
        <v>46151.0</v>
      </c>
      <c r="C261" s="4" t="str">
        <f t="shared" si="1"/>
        <v>May</v>
      </c>
      <c r="D261" s="3" t="s">
        <v>14</v>
      </c>
      <c r="E261" s="3" t="s">
        <v>15</v>
      </c>
      <c r="F261" s="3" t="s">
        <v>37</v>
      </c>
      <c r="G261" s="3" t="str">
        <f>VLOOKUP(F261, 'KODE PESAWAT'!$A$2:$C$42, 3, FALSE)</f>
        <v>Lion Air Group</v>
      </c>
      <c r="H261" s="10">
        <v>1488000.0</v>
      </c>
      <c r="I261" s="10">
        <v>1711199.9999999998</v>
      </c>
      <c r="J261" s="10">
        <f t="shared" si="2"/>
        <v>-223200</v>
      </c>
      <c r="K261" s="11">
        <f t="shared" si="3"/>
        <v>-0.15</v>
      </c>
      <c r="L261" s="3" t="str">
        <f t="shared" si="4"/>
        <v>Fare Increase</v>
      </c>
      <c r="M261" s="10">
        <f t="shared" si="5"/>
        <v>223200</v>
      </c>
      <c r="N261" s="3" t="str">
        <f t="shared" si="6"/>
        <v>Issued</v>
      </c>
      <c r="O261" s="3" t="str">
        <f t="shared" si="7"/>
        <v>LOSS</v>
      </c>
      <c r="P261" s="3">
        <f t="shared" si="8"/>
        <v>1</v>
      </c>
      <c r="Q261" s="3">
        <f t="shared" si="9"/>
        <v>0</v>
      </c>
      <c r="R261" s="12">
        <f t="shared" si="10"/>
        <v>0</v>
      </c>
    </row>
    <row r="262">
      <c r="A262" s="3" t="s">
        <v>298</v>
      </c>
      <c r="B262" s="4">
        <v>46074.0</v>
      </c>
      <c r="C262" s="4" t="str">
        <f t="shared" si="1"/>
        <v>February</v>
      </c>
      <c r="D262" s="3" t="s">
        <v>25</v>
      </c>
      <c r="E262" s="3" t="s">
        <v>15</v>
      </c>
      <c r="F262" s="3" t="s">
        <v>61</v>
      </c>
      <c r="G262" s="3" t="str">
        <f>VLOOKUP(F262, 'KODE PESAWAT'!$A$2:$C$42, 3, FALSE)</f>
        <v>Vietravel Group</v>
      </c>
      <c r="H262" s="10">
        <v>4518000.0</v>
      </c>
      <c r="I262" s="10">
        <v>6325200.0</v>
      </c>
      <c r="J262" s="10">
        <f t="shared" si="2"/>
        <v>-1807200</v>
      </c>
      <c r="K262" s="11">
        <f t="shared" si="3"/>
        <v>-0.4</v>
      </c>
      <c r="L262" s="3" t="str">
        <f t="shared" si="4"/>
        <v>Fare Increase</v>
      </c>
      <c r="M262" s="10">
        <f t="shared" si="5"/>
        <v>1807200</v>
      </c>
      <c r="N262" s="3" t="str">
        <f t="shared" si="6"/>
        <v>Issued</v>
      </c>
      <c r="O262" s="3" t="str">
        <f t="shared" si="7"/>
        <v>LOSS</v>
      </c>
      <c r="P262" s="3">
        <f t="shared" si="8"/>
        <v>1</v>
      </c>
      <c r="Q262" s="3">
        <f t="shared" si="9"/>
        <v>0</v>
      </c>
      <c r="R262" s="12">
        <f t="shared" si="10"/>
        <v>0</v>
      </c>
    </row>
    <row r="263">
      <c r="A263" s="3" t="s">
        <v>299</v>
      </c>
      <c r="B263" s="4">
        <v>46164.0</v>
      </c>
      <c r="C263" s="4" t="str">
        <f t="shared" si="1"/>
        <v>May</v>
      </c>
      <c r="D263" s="3" t="s">
        <v>25</v>
      </c>
      <c r="E263" s="3" t="s">
        <v>15</v>
      </c>
      <c r="F263" s="3" t="s">
        <v>26</v>
      </c>
      <c r="G263" s="3" t="str">
        <f>VLOOKUP(F263, 'KODE PESAWAT'!$A$2:$C$42, 3, FALSE)</f>
        <v>VietJet Group</v>
      </c>
      <c r="H263" s="10">
        <v>1.3357E7</v>
      </c>
      <c r="I263" s="10">
        <v>3.33925E7</v>
      </c>
      <c r="J263" s="10">
        <f t="shared" si="2"/>
        <v>-20035500</v>
      </c>
      <c r="K263" s="11">
        <f t="shared" si="3"/>
        <v>-1.5</v>
      </c>
      <c r="L263" s="3" t="str">
        <f t="shared" si="4"/>
        <v>Over Buffer</v>
      </c>
      <c r="M263" s="10">
        <f t="shared" si="5"/>
        <v>-13357000</v>
      </c>
      <c r="N263" s="3" t="str">
        <f t="shared" si="6"/>
        <v>Refund</v>
      </c>
      <c r="O263" s="3" t="str">
        <f t="shared" si="7"/>
        <v>N/A</v>
      </c>
      <c r="P263" s="3">
        <f t="shared" si="8"/>
        <v>0</v>
      </c>
      <c r="Q263" s="3">
        <f t="shared" si="9"/>
        <v>0</v>
      </c>
      <c r="R263" s="12">
        <f t="shared" si="10"/>
        <v>1</v>
      </c>
    </row>
    <row r="264">
      <c r="A264" s="3" t="s">
        <v>300</v>
      </c>
      <c r="B264" s="4">
        <v>46135.0</v>
      </c>
      <c r="C264" s="4" t="str">
        <f t="shared" si="1"/>
        <v>April</v>
      </c>
      <c r="D264" s="3" t="s">
        <v>25</v>
      </c>
      <c r="E264" s="3" t="s">
        <v>15</v>
      </c>
      <c r="F264" s="3" t="s">
        <v>61</v>
      </c>
      <c r="G264" s="3" t="str">
        <f>VLOOKUP(F264, 'KODE PESAWAT'!$A$2:$C$42, 3, FALSE)</f>
        <v>Vietravel Group</v>
      </c>
      <c r="H264" s="10">
        <v>1160000.0</v>
      </c>
      <c r="I264" s="10">
        <v>1624000.0</v>
      </c>
      <c r="J264" s="10">
        <f t="shared" si="2"/>
        <v>-464000</v>
      </c>
      <c r="K264" s="11">
        <f t="shared" si="3"/>
        <v>-0.4</v>
      </c>
      <c r="L264" s="3" t="str">
        <f t="shared" si="4"/>
        <v>Fare Increase</v>
      </c>
      <c r="M264" s="10">
        <f t="shared" si="5"/>
        <v>464000</v>
      </c>
      <c r="N264" s="3" t="str">
        <f t="shared" si="6"/>
        <v>Issued</v>
      </c>
      <c r="O264" s="3" t="str">
        <f t="shared" si="7"/>
        <v>LOSS</v>
      </c>
      <c r="P264" s="3">
        <f t="shared" si="8"/>
        <v>1</v>
      </c>
      <c r="Q264" s="3">
        <f t="shared" si="9"/>
        <v>0</v>
      </c>
      <c r="R264" s="12">
        <f t="shared" si="10"/>
        <v>0</v>
      </c>
    </row>
    <row r="265">
      <c r="A265" s="3" t="s">
        <v>301</v>
      </c>
      <c r="B265" s="4">
        <v>46198.0</v>
      </c>
      <c r="C265" s="4" t="str">
        <f t="shared" si="1"/>
        <v>June</v>
      </c>
      <c r="D265" s="3" t="s">
        <v>23</v>
      </c>
      <c r="E265" s="3" t="s">
        <v>15</v>
      </c>
      <c r="F265" s="3" t="s">
        <v>19</v>
      </c>
      <c r="G265" s="3" t="str">
        <f>VLOOKUP(F265, 'KODE PESAWAT'!$A$2:$C$42, 3, FALSE)</f>
        <v>Lion Air Group</v>
      </c>
      <c r="H265" s="10">
        <v>6940000.0</v>
      </c>
      <c r="I265" s="10">
        <v>6593000.0</v>
      </c>
      <c r="J265" s="10">
        <f t="shared" si="2"/>
        <v>347000</v>
      </c>
      <c r="K265" s="11">
        <f t="shared" si="3"/>
        <v>0.05</v>
      </c>
      <c r="L265" s="3" t="str">
        <f t="shared" si="4"/>
        <v>Normal</v>
      </c>
      <c r="M265" s="10">
        <f t="shared" si="5"/>
        <v>-347000</v>
      </c>
      <c r="N265" s="3" t="str">
        <f t="shared" si="6"/>
        <v>Issued</v>
      </c>
      <c r="O265" s="3" t="str">
        <f t="shared" si="7"/>
        <v>PROFIT</v>
      </c>
      <c r="P265" s="3">
        <f t="shared" si="8"/>
        <v>1</v>
      </c>
      <c r="Q265" s="3">
        <f t="shared" si="9"/>
        <v>1</v>
      </c>
      <c r="R265" s="12">
        <f t="shared" si="10"/>
        <v>0</v>
      </c>
    </row>
    <row r="266">
      <c r="A266" s="3" t="s">
        <v>302</v>
      </c>
      <c r="B266" s="4">
        <v>46076.0</v>
      </c>
      <c r="C266" s="4" t="str">
        <f t="shared" si="1"/>
        <v>February</v>
      </c>
      <c r="D266" s="3" t="s">
        <v>25</v>
      </c>
      <c r="E266" s="3" t="s">
        <v>15</v>
      </c>
      <c r="F266" s="3" t="s">
        <v>116</v>
      </c>
      <c r="G266" s="3" t="str">
        <f>VLOOKUP(F266, 'KODE PESAWAT'!$A$2:$C$42, 3, FALSE)</f>
        <v>VietJet Group</v>
      </c>
      <c r="H266" s="10">
        <v>2185000.0</v>
      </c>
      <c r="I266" s="10">
        <v>2075750.0</v>
      </c>
      <c r="J266" s="10">
        <f t="shared" si="2"/>
        <v>109250</v>
      </c>
      <c r="K266" s="11">
        <f t="shared" si="3"/>
        <v>0.05</v>
      </c>
      <c r="L266" s="3" t="str">
        <f t="shared" si="4"/>
        <v>Normal</v>
      </c>
      <c r="M266" s="10">
        <f t="shared" si="5"/>
        <v>-109250</v>
      </c>
      <c r="N266" s="3" t="str">
        <f t="shared" si="6"/>
        <v>Issued</v>
      </c>
      <c r="O266" s="3" t="str">
        <f t="shared" si="7"/>
        <v>PROFIT</v>
      </c>
      <c r="P266" s="3">
        <f t="shared" si="8"/>
        <v>1</v>
      </c>
      <c r="Q266" s="3">
        <f t="shared" si="9"/>
        <v>1</v>
      </c>
      <c r="R266" s="12">
        <f t="shared" si="10"/>
        <v>0</v>
      </c>
    </row>
    <row r="267">
      <c r="A267" s="3" t="s">
        <v>303</v>
      </c>
      <c r="B267" s="4">
        <v>46336.0</v>
      </c>
      <c r="C267" s="4" t="str">
        <f t="shared" si="1"/>
        <v>November</v>
      </c>
      <c r="D267" s="3" t="s">
        <v>14</v>
      </c>
      <c r="E267" s="3" t="s">
        <v>15</v>
      </c>
      <c r="F267" s="3" t="s">
        <v>16</v>
      </c>
      <c r="G267" s="3" t="str">
        <f>VLOOKUP(F267, 'KODE PESAWAT'!$A$2:$C$42, 3, FALSE)</f>
        <v>Thai Airways Group (Associate)</v>
      </c>
      <c r="H267" s="10">
        <v>1527000.0</v>
      </c>
      <c r="I267" s="10">
        <v>3817500.0</v>
      </c>
      <c r="J267" s="10">
        <f t="shared" si="2"/>
        <v>-2290500</v>
      </c>
      <c r="K267" s="11">
        <f t="shared" si="3"/>
        <v>-1.5</v>
      </c>
      <c r="L267" s="3" t="str">
        <f t="shared" si="4"/>
        <v>Over Buffer</v>
      </c>
      <c r="M267" s="10">
        <f t="shared" si="5"/>
        <v>-1527000</v>
      </c>
      <c r="N267" s="3" t="str">
        <f t="shared" si="6"/>
        <v>Refund</v>
      </c>
      <c r="O267" s="3" t="str">
        <f t="shared" si="7"/>
        <v>N/A</v>
      </c>
      <c r="P267" s="3">
        <f t="shared" si="8"/>
        <v>0</v>
      </c>
      <c r="Q267" s="3">
        <f t="shared" si="9"/>
        <v>0</v>
      </c>
      <c r="R267" s="12">
        <f t="shared" si="10"/>
        <v>1</v>
      </c>
    </row>
    <row r="268">
      <c r="A268" s="3" t="s">
        <v>304</v>
      </c>
      <c r="B268" s="4">
        <v>46332.0</v>
      </c>
      <c r="C268" s="4" t="str">
        <f t="shared" si="1"/>
        <v>November</v>
      </c>
      <c r="D268" s="3" t="s">
        <v>18</v>
      </c>
      <c r="E268" s="3" t="s">
        <v>11</v>
      </c>
      <c r="F268" s="3" t="s">
        <v>21</v>
      </c>
      <c r="G268" s="3" t="str">
        <f>VLOOKUP(F268, 'KODE PESAWAT'!$A$2:$C$42, 3, FALSE)</f>
        <v>Singapore Airlines Group</v>
      </c>
      <c r="H268" s="10">
        <v>1244000.0</v>
      </c>
      <c r="I268" s="10">
        <v>1430600.0</v>
      </c>
      <c r="J268" s="10">
        <f t="shared" si="2"/>
        <v>-186600</v>
      </c>
      <c r="K268" s="11">
        <f t="shared" si="3"/>
        <v>-0.15</v>
      </c>
      <c r="L268" s="3" t="str">
        <f t="shared" si="4"/>
        <v>Fare Increase</v>
      </c>
      <c r="M268" s="10">
        <f t="shared" si="5"/>
        <v>186600</v>
      </c>
      <c r="N268" s="3" t="str">
        <f t="shared" si="6"/>
        <v>Issued</v>
      </c>
      <c r="O268" s="3" t="str">
        <f t="shared" si="7"/>
        <v>LOSS</v>
      </c>
      <c r="P268" s="3">
        <f t="shared" si="8"/>
        <v>1</v>
      </c>
      <c r="Q268" s="3">
        <f t="shared" si="9"/>
        <v>0</v>
      </c>
      <c r="R268" s="12">
        <f t="shared" si="10"/>
        <v>0</v>
      </c>
    </row>
    <row r="269">
      <c r="A269" s="3" t="s">
        <v>305</v>
      </c>
      <c r="B269" s="4">
        <v>46253.0</v>
      </c>
      <c r="C269" s="4" t="str">
        <f t="shared" si="1"/>
        <v>August</v>
      </c>
      <c r="D269" s="3" t="s">
        <v>23</v>
      </c>
      <c r="E269" s="3" t="s">
        <v>15</v>
      </c>
      <c r="F269" s="3" t="s">
        <v>33</v>
      </c>
      <c r="G269" s="3" t="str">
        <f>VLOOKUP(F269, 'KODE PESAWAT'!$A$2:$C$42, 3, FALSE)</f>
        <v>Garuda Indonesia Group</v>
      </c>
      <c r="H269" s="10">
        <v>6488000.0</v>
      </c>
      <c r="I269" s="10">
        <v>9083200.0</v>
      </c>
      <c r="J269" s="10">
        <f t="shared" si="2"/>
        <v>-2595200</v>
      </c>
      <c r="K269" s="11">
        <f t="shared" si="3"/>
        <v>-0.4</v>
      </c>
      <c r="L269" s="3" t="str">
        <f t="shared" si="4"/>
        <v>Fare Increase</v>
      </c>
      <c r="M269" s="10">
        <f t="shared" si="5"/>
        <v>2595200</v>
      </c>
      <c r="N269" s="3" t="str">
        <f t="shared" si="6"/>
        <v>Issued</v>
      </c>
      <c r="O269" s="3" t="str">
        <f t="shared" si="7"/>
        <v>LOSS</v>
      </c>
      <c r="P269" s="3">
        <f t="shared" si="8"/>
        <v>1</v>
      </c>
      <c r="Q269" s="3">
        <f t="shared" si="9"/>
        <v>0</v>
      </c>
      <c r="R269" s="12">
        <f t="shared" si="10"/>
        <v>0</v>
      </c>
    </row>
    <row r="270">
      <c r="A270" s="3" t="s">
        <v>306</v>
      </c>
      <c r="B270" s="4">
        <v>46078.0</v>
      </c>
      <c r="C270" s="4" t="str">
        <f t="shared" si="1"/>
        <v>February</v>
      </c>
      <c r="D270" s="3" t="s">
        <v>30</v>
      </c>
      <c r="E270" s="3" t="s">
        <v>15</v>
      </c>
      <c r="F270" s="3" t="s">
        <v>12</v>
      </c>
      <c r="G270" s="3" t="str">
        <f>VLOOKUP(F270, 'KODE PESAWAT'!$A$2:$C$42, 3, FALSE)</f>
        <v>AirAsia Group</v>
      </c>
      <c r="H270" s="10">
        <v>513000.0</v>
      </c>
      <c r="I270" s="10">
        <v>487350.0</v>
      </c>
      <c r="J270" s="10">
        <f t="shared" si="2"/>
        <v>25650</v>
      </c>
      <c r="K270" s="11">
        <f t="shared" si="3"/>
        <v>0.05</v>
      </c>
      <c r="L270" s="3" t="str">
        <f t="shared" si="4"/>
        <v>Normal</v>
      </c>
      <c r="M270" s="10">
        <f t="shared" si="5"/>
        <v>-25650</v>
      </c>
      <c r="N270" s="3" t="str">
        <f t="shared" si="6"/>
        <v>Issued</v>
      </c>
      <c r="O270" s="3" t="str">
        <f t="shared" si="7"/>
        <v>PROFIT</v>
      </c>
      <c r="P270" s="3">
        <f t="shared" si="8"/>
        <v>1</v>
      </c>
      <c r="Q270" s="3">
        <f t="shared" si="9"/>
        <v>1</v>
      </c>
      <c r="R270" s="12">
        <f t="shared" si="10"/>
        <v>0</v>
      </c>
    </row>
    <row r="271">
      <c r="A271" s="3" t="s">
        <v>307</v>
      </c>
      <c r="B271" s="4">
        <v>46297.0</v>
      </c>
      <c r="C271" s="4" t="str">
        <f t="shared" si="1"/>
        <v>October</v>
      </c>
      <c r="D271" s="3" t="s">
        <v>30</v>
      </c>
      <c r="E271" s="3" t="s">
        <v>15</v>
      </c>
      <c r="F271" s="3" t="s">
        <v>37</v>
      </c>
      <c r="G271" s="3" t="str">
        <f>VLOOKUP(F271, 'KODE PESAWAT'!$A$2:$C$42, 3, FALSE)</f>
        <v>Lion Air Group</v>
      </c>
      <c r="H271" s="10">
        <v>610000.0</v>
      </c>
      <c r="I271" s="10">
        <v>854000.0</v>
      </c>
      <c r="J271" s="10">
        <f t="shared" si="2"/>
        <v>-244000</v>
      </c>
      <c r="K271" s="11">
        <f t="shared" si="3"/>
        <v>-0.4</v>
      </c>
      <c r="L271" s="3" t="str">
        <f t="shared" si="4"/>
        <v>Fare Increase</v>
      </c>
      <c r="M271" s="10">
        <f t="shared" si="5"/>
        <v>244000</v>
      </c>
      <c r="N271" s="3" t="str">
        <f t="shared" si="6"/>
        <v>Issued</v>
      </c>
      <c r="O271" s="3" t="str">
        <f t="shared" si="7"/>
        <v>LOSS</v>
      </c>
      <c r="P271" s="3">
        <f t="shared" si="8"/>
        <v>1</v>
      </c>
      <c r="Q271" s="3">
        <f t="shared" si="9"/>
        <v>0</v>
      </c>
      <c r="R271" s="12">
        <f t="shared" si="10"/>
        <v>0</v>
      </c>
    </row>
    <row r="272">
      <c r="A272" s="3" t="s">
        <v>308</v>
      </c>
      <c r="B272" s="4">
        <v>46380.0</v>
      </c>
      <c r="C272" s="4" t="str">
        <f t="shared" si="1"/>
        <v>December</v>
      </c>
      <c r="D272" s="3" t="s">
        <v>18</v>
      </c>
      <c r="E272" s="3" t="s">
        <v>11</v>
      </c>
      <c r="F272" s="3" t="s">
        <v>12</v>
      </c>
      <c r="G272" s="3" t="str">
        <f>VLOOKUP(F272, 'KODE PESAWAT'!$A$2:$C$42, 3, FALSE)</f>
        <v>AirAsia Group</v>
      </c>
      <c r="H272" s="10">
        <v>1.444E7</v>
      </c>
      <c r="I272" s="10">
        <v>1.6605999999999998E7</v>
      </c>
      <c r="J272" s="10">
        <f t="shared" si="2"/>
        <v>-2166000</v>
      </c>
      <c r="K272" s="11">
        <f t="shared" si="3"/>
        <v>-0.15</v>
      </c>
      <c r="L272" s="3" t="str">
        <f t="shared" si="4"/>
        <v>Fare Increase</v>
      </c>
      <c r="M272" s="10">
        <f t="shared" si="5"/>
        <v>2166000</v>
      </c>
      <c r="N272" s="3" t="str">
        <f t="shared" si="6"/>
        <v>Issued</v>
      </c>
      <c r="O272" s="3" t="str">
        <f t="shared" si="7"/>
        <v>LOSS</v>
      </c>
      <c r="P272" s="3">
        <f t="shared" si="8"/>
        <v>1</v>
      </c>
      <c r="Q272" s="3">
        <f t="shared" si="9"/>
        <v>0</v>
      </c>
      <c r="R272" s="12">
        <f t="shared" si="10"/>
        <v>0</v>
      </c>
    </row>
    <row r="273">
      <c r="A273" s="3" t="s">
        <v>309</v>
      </c>
      <c r="B273" s="4">
        <v>46315.0</v>
      </c>
      <c r="C273" s="4" t="str">
        <f t="shared" si="1"/>
        <v>October</v>
      </c>
      <c r="D273" s="3" t="s">
        <v>30</v>
      </c>
      <c r="E273" s="3" t="s">
        <v>15</v>
      </c>
      <c r="F273" s="3" t="s">
        <v>42</v>
      </c>
      <c r="G273" s="3" t="str">
        <f>VLOOKUP(F273, 'KODE PESAWAT'!$A$2:$C$42, 3, FALSE)</f>
        <v>Vietnam Airlines Group</v>
      </c>
      <c r="H273" s="10">
        <v>2520000.0</v>
      </c>
      <c r="I273" s="10">
        <v>2394000.0</v>
      </c>
      <c r="J273" s="10">
        <f t="shared" si="2"/>
        <v>126000</v>
      </c>
      <c r="K273" s="11">
        <f t="shared" si="3"/>
        <v>0.05</v>
      </c>
      <c r="L273" s="3" t="str">
        <f t="shared" si="4"/>
        <v>Normal</v>
      </c>
      <c r="M273" s="10">
        <f t="shared" si="5"/>
        <v>-126000</v>
      </c>
      <c r="N273" s="3" t="str">
        <f t="shared" si="6"/>
        <v>Issued</v>
      </c>
      <c r="O273" s="3" t="str">
        <f t="shared" si="7"/>
        <v>PROFIT</v>
      </c>
      <c r="P273" s="3">
        <f t="shared" si="8"/>
        <v>1</v>
      </c>
      <c r="Q273" s="3">
        <f t="shared" si="9"/>
        <v>1</v>
      </c>
      <c r="R273" s="12">
        <f t="shared" si="10"/>
        <v>0</v>
      </c>
    </row>
    <row r="274">
      <c r="A274" s="3" t="s">
        <v>310</v>
      </c>
      <c r="B274" s="4">
        <v>46305.0</v>
      </c>
      <c r="C274" s="4" t="str">
        <f t="shared" si="1"/>
        <v>October</v>
      </c>
      <c r="D274" s="3" t="s">
        <v>14</v>
      </c>
      <c r="E274" s="3" t="s">
        <v>15</v>
      </c>
      <c r="F274" s="3" t="s">
        <v>16</v>
      </c>
      <c r="G274" s="3" t="str">
        <f>VLOOKUP(F274, 'KODE PESAWAT'!$A$2:$C$42, 3, FALSE)</f>
        <v>Thai Airways Group (Associate)</v>
      </c>
      <c r="H274" s="10">
        <v>585000.0</v>
      </c>
      <c r="I274" s="10">
        <v>555750.0</v>
      </c>
      <c r="J274" s="10">
        <f t="shared" si="2"/>
        <v>29250</v>
      </c>
      <c r="K274" s="11">
        <f t="shared" si="3"/>
        <v>0.05</v>
      </c>
      <c r="L274" s="3" t="str">
        <f t="shared" si="4"/>
        <v>Normal</v>
      </c>
      <c r="M274" s="10">
        <f t="shared" si="5"/>
        <v>-29250</v>
      </c>
      <c r="N274" s="3" t="str">
        <f t="shared" si="6"/>
        <v>Issued</v>
      </c>
      <c r="O274" s="3" t="str">
        <f t="shared" si="7"/>
        <v>PROFIT</v>
      </c>
      <c r="P274" s="3">
        <f t="shared" si="8"/>
        <v>1</v>
      </c>
      <c r="Q274" s="3">
        <f t="shared" si="9"/>
        <v>1</v>
      </c>
      <c r="R274" s="12">
        <f t="shared" si="10"/>
        <v>0</v>
      </c>
    </row>
    <row r="275">
      <c r="A275" s="3" t="s">
        <v>311</v>
      </c>
      <c r="B275" s="4">
        <v>46129.0</v>
      </c>
      <c r="C275" s="4" t="str">
        <f t="shared" si="1"/>
        <v>April</v>
      </c>
      <c r="D275" s="3" t="s">
        <v>25</v>
      </c>
      <c r="E275" s="3" t="s">
        <v>15</v>
      </c>
      <c r="F275" s="3" t="s">
        <v>26</v>
      </c>
      <c r="G275" s="3" t="str">
        <f>VLOOKUP(F275, 'KODE PESAWAT'!$A$2:$C$42, 3, FALSE)</f>
        <v>VietJet Group</v>
      </c>
      <c r="H275" s="10">
        <v>789000.0</v>
      </c>
      <c r="I275" s="10">
        <v>749550.0</v>
      </c>
      <c r="J275" s="10">
        <f t="shared" si="2"/>
        <v>39450</v>
      </c>
      <c r="K275" s="11">
        <f t="shared" si="3"/>
        <v>0.05</v>
      </c>
      <c r="L275" s="3" t="str">
        <f t="shared" si="4"/>
        <v>Normal</v>
      </c>
      <c r="M275" s="10">
        <f t="shared" si="5"/>
        <v>-39450</v>
      </c>
      <c r="N275" s="3" t="str">
        <f t="shared" si="6"/>
        <v>Issued</v>
      </c>
      <c r="O275" s="3" t="str">
        <f t="shared" si="7"/>
        <v>PROFIT</v>
      </c>
      <c r="P275" s="3">
        <f t="shared" si="8"/>
        <v>1</v>
      </c>
      <c r="Q275" s="3">
        <f t="shared" si="9"/>
        <v>1</v>
      </c>
      <c r="R275" s="12">
        <f t="shared" si="10"/>
        <v>0</v>
      </c>
    </row>
    <row r="276">
      <c r="A276" s="3" t="s">
        <v>312</v>
      </c>
      <c r="B276" s="4">
        <v>46342.0</v>
      </c>
      <c r="C276" s="4" t="str">
        <f t="shared" si="1"/>
        <v>November</v>
      </c>
      <c r="D276" s="3" t="s">
        <v>25</v>
      </c>
      <c r="E276" s="3" t="s">
        <v>15</v>
      </c>
      <c r="F276" s="3" t="s">
        <v>61</v>
      </c>
      <c r="G276" s="3" t="str">
        <f>VLOOKUP(F276, 'KODE PESAWAT'!$A$2:$C$42, 3, FALSE)</f>
        <v>Vietravel Group</v>
      </c>
      <c r="H276" s="10">
        <v>1745000.0</v>
      </c>
      <c r="I276" s="10">
        <v>1657750.0</v>
      </c>
      <c r="J276" s="10">
        <f t="shared" si="2"/>
        <v>87250</v>
      </c>
      <c r="K276" s="11">
        <f t="shared" si="3"/>
        <v>0.05</v>
      </c>
      <c r="L276" s="3" t="str">
        <f t="shared" si="4"/>
        <v>Normal</v>
      </c>
      <c r="M276" s="10">
        <f t="shared" si="5"/>
        <v>-87250</v>
      </c>
      <c r="N276" s="3" t="str">
        <f t="shared" si="6"/>
        <v>Issued</v>
      </c>
      <c r="O276" s="3" t="str">
        <f t="shared" si="7"/>
        <v>PROFIT</v>
      </c>
      <c r="P276" s="3">
        <f t="shared" si="8"/>
        <v>1</v>
      </c>
      <c r="Q276" s="3">
        <f t="shared" si="9"/>
        <v>1</v>
      </c>
      <c r="R276" s="12">
        <f t="shared" si="10"/>
        <v>0</v>
      </c>
    </row>
    <row r="277">
      <c r="A277" s="3" t="s">
        <v>313</v>
      </c>
      <c r="B277" s="4">
        <v>46166.0</v>
      </c>
      <c r="C277" s="4" t="str">
        <f t="shared" si="1"/>
        <v>May</v>
      </c>
      <c r="D277" s="3" t="s">
        <v>25</v>
      </c>
      <c r="E277" s="3" t="s">
        <v>15</v>
      </c>
      <c r="F277" s="3" t="s">
        <v>42</v>
      </c>
      <c r="G277" s="3" t="str">
        <f>VLOOKUP(F277, 'KODE PESAWAT'!$A$2:$C$42, 3, FALSE)</f>
        <v>Vietnam Airlines Group</v>
      </c>
      <c r="H277" s="10">
        <v>1312000.0</v>
      </c>
      <c r="I277" s="10">
        <v>3280000.0</v>
      </c>
      <c r="J277" s="10">
        <f t="shared" si="2"/>
        <v>-1968000</v>
      </c>
      <c r="K277" s="11">
        <f t="shared" si="3"/>
        <v>-1.5</v>
      </c>
      <c r="L277" s="3" t="str">
        <f t="shared" si="4"/>
        <v>Over Buffer</v>
      </c>
      <c r="M277" s="10">
        <f t="shared" si="5"/>
        <v>-1312000</v>
      </c>
      <c r="N277" s="3" t="str">
        <f t="shared" si="6"/>
        <v>Refund</v>
      </c>
      <c r="O277" s="3" t="str">
        <f t="shared" si="7"/>
        <v>N/A</v>
      </c>
      <c r="P277" s="3">
        <f t="shared" si="8"/>
        <v>0</v>
      </c>
      <c r="Q277" s="3">
        <f t="shared" si="9"/>
        <v>0</v>
      </c>
      <c r="R277" s="12">
        <f t="shared" si="10"/>
        <v>1</v>
      </c>
    </row>
    <row r="278">
      <c r="A278" s="3" t="s">
        <v>314</v>
      </c>
      <c r="B278" s="4">
        <v>46055.0</v>
      </c>
      <c r="C278" s="4" t="str">
        <f t="shared" si="1"/>
        <v>February</v>
      </c>
      <c r="D278" s="3" t="s">
        <v>10</v>
      </c>
      <c r="E278" s="3" t="s">
        <v>11</v>
      </c>
      <c r="F278" s="3" t="s">
        <v>12</v>
      </c>
      <c r="G278" s="3" t="str">
        <f>VLOOKUP(F278, 'KODE PESAWAT'!$A$2:$C$42, 3, FALSE)</f>
        <v>AirAsia Group</v>
      </c>
      <c r="H278" s="10">
        <v>1511000.0</v>
      </c>
      <c r="I278" s="10">
        <v>1737649.9999999998</v>
      </c>
      <c r="J278" s="10">
        <f t="shared" si="2"/>
        <v>-226650</v>
      </c>
      <c r="K278" s="11">
        <f t="shared" si="3"/>
        <v>-0.15</v>
      </c>
      <c r="L278" s="3" t="str">
        <f t="shared" si="4"/>
        <v>Fare Increase</v>
      </c>
      <c r="M278" s="10">
        <f t="shared" si="5"/>
        <v>226650</v>
      </c>
      <c r="N278" s="3" t="str">
        <f t="shared" si="6"/>
        <v>Issued</v>
      </c>
      <c r="O278" s="3" t="str">
        <f t="shared" si="7"/>
        <v>LOSS</v>
      </c>
      <c r="P278" s="3">
        <f t="shared" si="8"/>
        <v>1</v>
      </c>
      <c r="Q278" s="3">
        <f t="shared" si="9"/>
        <v>0</v>
      </c>
      <c r="R278" s="12">
        <f t="shared" si="10"/>
        <v>0</v>
      </c>
    </row>
    <row r="279">
      <c r="A279" s="3" t="s">
        <v>315</v>
      </c>
      <c r="B279" s="4">
        <v>46188.0</v>
      </c>
      <c r="C279" s="4" t="str">
        <f t="shared" si="1"/>
        <v>June</v>
      </c>
      <c r="D279" s="3" t="s">
        <v>23</v>
      </c>
      <c r="E279" s="3" t="s">
        <v>15</v>
      </c>
      <c r="F279" s="3" t="s">
        <v>19</v>
      </c>
      <c r="G279" s="3" t="str">
        <f>VLOOKUP(F279, 'KODE PESAWAT'!$A$2:$C$42, 3, FALSE)</f>
        <v>Lion Air Group</v>
      </c>
      <c r="H279" s="10">
        <v>5498000.0</v>
      </c>
      <c r="I279" s="10">
        <v>5223100.0</v>
      </c>
      <c r="J279" s="10">
        <f t="shared" si="2"/>
        <v>274900</v>
      </c>
      <c r="K279" s="11">
        <f t="shared" si="3"/>
        <v>0.05</v>
      </c>
      <c r="L279" s="3" t="str">
        <f t="shared" si="4"/>
        <v>Normal</v>
      </c>
      <c r="M279" s="10">
        <f t="shared" si="5"/>
        <v>-274900</v>
      </c>
      <c r="N279" s="3" t="str">
        <f t="shared" si="6"/>
        <v>Issued</v>
      </c>
      <c r="O279" s="3" t="str">
        <f t="shared" si="7"/>
        <v>PROFIT</v>
      </c>
      <c r="P279" s="3">
        <f t="shared" si="8"/>
        <v>1</v>
      </c>
      <c r="Q279" s="3">
        <f t="shared" si="9"/>
        <v>1</v>
      </c>
      <c r="R279" s="12">
        <f t="shared" si="10"/>
        <v>0</v>
      </c>
    </row>
    <row r="280">
      <c r="A280" s="3" t="s">
        <v>316</v>
      </c>
      <c r="B280" s="4">
        <v>46272.0</v>
      </c>
      <c r="C280" s="4" t="str">
        <f t="shared" si="1"/>
        <v>September</v>
      </c>
      <c r="D280" s="3" t="s">
        <v>18</v>
      </c>
      <c r="E280" s="3" t="s">
        <v>11</v>
      </c>
      <c r="F280" s="3" t="s">
        <v>12</v>
      </c>
      <c r="G280" s="3" t="str">
        <f>VLOOKUP(F280, 'KODE PESAWAT'!$A$2:$C$42, 3, FALSE)</f>
        <v>AirAsia Group</v>
      </c>
      <c r="H280" s="10">
        <v>548000.0</v>
      </c>
      <c r="I280" s="10">
        <v>630200.0</v>
      </c>
      <c r="J280" s="10">
        <f t="shared" si="2"/>
        <v>-82200</v>
      </c>
      <c r="K280" s="11">
        <f t="shared" si="3"/>
        <v>-0.15</v>
      </c>
      <c r="L280" s="3" t="str">
        <f t="shared" si="4"/>
        <v>Fare Increase</v>
      </c>
      <c r="M280" s="10">
        <f t="shared" si="5"/>
        <v>82200</v>
      </c>
      <c r="N280" s="3" t="str">
        <f t="shared" si="6"/>
        <v>Issued</v>
      </c>
      <c r="O280" s="3" t="str">
        <f t="shared" si="7"/>
        <v>LOSS</v>
      </c>
      <c r="P280" s="3">
        <f t="shared" si="8"/>
        <v>1</v>
      </c>
      <c r="Q280" s="3">
        <f t="shared" si="9"/>
        <v>0</v>
      </c>
      <c r="R280" s="12">
        <f t="shared" si="10"/>
        <v>0</v>
      </c>
    </row>
    <row r="281">
      <c r="A281" s="3" t="s">
        <v>317</v>
      </c>
      <c r="B281" s="4">
        <v>46157.0</v>
      </c>
      <c r="C281" s="4" t="str">
        <f t="shared" si="1"/>
        <v>May</v>
      </c>
      <c r="D281" s="3" t="s">
        <v>25</v>
      </c>
      <c r="E281" s="3" t="s">
        <v>15</v>
      </c>
      <c r="F281" s="3" t="s">
        <v>116</v>
      </c>
      <c r="G281" s="3" t="str">
        <f>VLOOKUP(F281, 'KODE PESAWAT'!$A$2:$C$42, 3, FALSE)</f>
        <v>VietJet Group</v>
      </c>
      <c r="H281" s="10">
        <v>1.0106E7</v>
      </c>
      <c r="I281" s="10">
        <v>9600700.0</v>
      </c>
      <c r="J281" s="10">
        <f t="shared" si="2"/>
        <v>505300</v>
      </c>
      <c r="K281" s="11">
        <f t="shared" si="3"/>
        <v>0.05</v>
      </c>
      <c r="L281" s="3" t="str">
        <f t="shared" si="4"/>
        <v>Normal</v>
      </c>
      <c r="M281" s="10">
        <f t="shared" si="5"/>
        <v>-505300</v>
      </c>
      <c r="N281" s="3" t="str">
        <f t="shared" si="6"/>
        <v>Issued</v>
      </c>
      <c r="O281" s="3" t="str">
        <f t="shared" si="7"/>
        <v>PROFIT</v>
      </c>
      <c r="P281" s="3">
        <f t="shared" si="8"/>
        <v>1</v>
      </c>
      <c r="Q281" s="3">
        <f t="shared" si="9"/>
        <v>1</v>
      </c>
      <c r="R281" s="12">
        <f t="shared" si="10"/>
        <v>0</v>
      </c>
    </row>
    <row r="282">
      <c r="A282" s="3" t="s">
        <v>318</v>
      </c>
      <c r="B282" s="4">
        <v>46080.0</v>
      </c>
      <c r="C282" s="4" t="str">
        <f t="shared" si="1"/>
        <v>February</v>
      </c>
      <c r="D282" s="3" t="s">
        <v>18</v>
      </c>
      <c r="E282" s="3" t="s">
        <v>11</v>
      </c>
      <c r="F282" s="3" t="s">
        <v>35</v>
      </c>
      <c r="G282" s="3" t="str">
        <f>VLOOKUP(F282, 'KODE PESAWAT'!$A$2:$C$42, 3, FALSE)</f>
        <v>Lion Air Group</v>
      </c>
      <c r="H282" s="10">
        <v>915000.0</v>
      </c>
      <c r="I282" s="10">
        <v>869250.0</v>
      </c>
      <c r="J282" s="10">
        <f t="shared" si="2"/>
        <v>45750</v>
      </c>
      <c r="K282" s="11">
        <f t="shared" si="3"/>
        <v>0.05</v>
      </c>
      <c r="L282" s="3" t="str">
        <f t="shared" si="4"/>
        <v>Normal</v>
      </c>
      <c r="M282" s="10">
        <f t="shared" si="5"/>
        <v>-45750</v>
      </c>
      <c r="N282" s="3" t="str">
        <f t="shared" si="6"/>
        <v>Issued</v>
      </c>
      <c r="O282" s="3" t="str">
        <f t="shared" si="7"/>
        <v>PROFIT</v>
      </c>
      <c r="P282" s="3">
        <f t="shared" si="8"/>
        <v>1</v>
      </c>
      <c r="Q282" s="3">
        <f t="shared" si="9"/>
        <v>1</v>
      </c>
      <c r="R282" s="12">
        <f t="shared" si="10"/>
        <v>0</v>
      </c>
    </row>
    <row r="283">
      <c r="A283" s="3" t="s">
        <v>319</v>
      </c>
      <c r="B283" s="4">
        <v>46370.0</v>
      </c>
      <c r="C283" s="4" t="str">
        <f t="shared" si="1"/>
        <v>December</v>
      </c>
      <c r="D283" s="3" t="s">
        <v>30</v>
      </c>
      <c r="E283" s="3" t="s">
        <v>15</v>
      </c>
      <c r="F283" s="3" t="s">
        <v>26</v>
      </c>
      <c r="G283" s="3" t="str">
        <f>VLOOKUP(F283, 'KODE PESAWAT'!$A$2:$C$42, 3, FALSE)</f>
        <v>VietJet Group</v>
      </c>
      <c r="H283" s="10">
        <v>904000.0</v>
      </c>
      <c r="I283" s="10">
        <v>1265600.0</v>
      </c>
      <c r="J283" s="10">
        <f t="shared" si="2"/>
        <v>-361600</v>
      </c>
      <c r="K283" s="11">
        <f t="shared" si="3"/>
        <v>-0.4</v>
      </c>
      <c r="L283" s="3" t="str">
        <f t="shared" si="4"/>
        <v>Fare Increase</v>
      </c>
      <c r="M283" s="10">
        <f t="shared" si="5"/>
        <v>361600</v>
      </c>
      <c r="N283" s="3" t="str">
        <f t="shared" si="6"/>
        <v>Issued</v>
      </c>
      <c r="O283" s="3" t="str">
        <f t="shared" si="7"/>
        <v>LOSS</v>
      </c>
      <c r="P283" s="3">
        <f t="shared" si="8"/>
        <v>1</v>
      </c>
      <c r="Q283" s="3">
        <f t="shared" si="9"/>
        <v>0</v>
      </c>
      <c r="R283" s="12">
        <f t="shared" si="10"/>
        <v>0</v>
      </c>
    </row>
    <row r="284">
      <c r="A284" s="3" t="s">
        <v>320</v>
      </c>
      <c r="B284" s="4">
        <v>46297.0</v>
      </c>
      <c r="C284" s="4" t="str">
        <f t="shared" si="1"/>
        <v>October</v>
      </c>
      <c r="D284" s="3" t="s">
        <v>14</v>
      </c>
      <c r="E284" s="3" t="s">
        <v>15</v>
      </c>
      <c r="F284" s="3" t="s">
        <v>16</v>
      </c>
      <c r="G284" s="3" t="str">
        <f>VLOOKUP(F284, 'KODE PESAWAT'!$A$2:$C$42, 3, FALSE)</f>
        <v>Thai Airways Group (Associate)</v>
      </c>
      <c r="H284" s="10">
        <v>2422000.0</v>
      </c>
      <c r="I284" s="10">
        <v>2785300.0</v>
      </c>
      <c r="J284" s="10">
        <f t="shared" si="2"/>
        <v>-363300</v>
      </c>
      <c r="K284" s="11">
        <f t="shared" si="3"/>
        <v>-0.15</v>
      </c>
      <c r="L284" s="3" t="str">
        <f t="shared" si="4"/>
        <v>Fare Increase</v>
      </c>
      <c r="M284" s="10">
        <f t="shared" si="5"/>
        <v>363300</v>
      </c>
      <c r="N284" s="3" t="str">
        <f t="shared" si="6"/>
        <v>Issued</v>
      </c>
      <c r="O284" s="3" t="str">
        <f t="shared" si="7"/>
        <v>LOSS</v>
      </c>
      <c r="P284" s="3">
        <f t="shared" si="8"/>
        <v>1</v>
      </c>
      <c r="Q284" s="3">
        <f t="shared" si="9"/>
        <v>0</v>
      </c>
      <c r="R284" s="12">
        <f t="shared" si="10"/>
        <v>0</v>
      </c>
    </row>
    <row r="285">
      <c r="A285" s="3" t="s">
        <v>321</v>
      </c>
      <c r="B285" s="4">
        <v>46225.0</v>
      </c>
      <c r="C285" s="4" t="str">
        <f t="shared" si="1"/>
        <v>July</v>
      </c>
      <c r="D285" s="3" t="s">
        <v>10</v>
      </c>
      <c r="E285" s="3" t="s">
        <v>11</v>
      </c>
      <c r="F285" s="3" t="s">
        <v>12</v>
      </c>
      <c r="G285" s="3" t="str">
        <f>VLOOKUP(F285, 'KODE PESAWAT'!$A$2:$C$42, 3, FALSE)</f>
        <v>AirAsia Group</v>
      </c>
      <c r="H285" s="10">
        <v>6860000.0</v>
      </c>
      <c r="I285" s="10">
        <v>7888999.999999999</v>
      </c>
      <c r="J285" s="10">
        <f t="shared" si="2"/>
        <v>-1029000</v>
      </c>
      <c r="K285" s="11">
        <f t="shared" si="3"/>
        <v>-0.15</v>
      </c>
      <c r="L285" s="3" t="str">
        <f t="shared" si="4"/>
        <v>Fare Increase</v>
      </c>
      <c r="M285" s="10">
        <f t="shared" si="5"/>
        <v>1029000</v>
      </c>
      <c r="N285" s="3" t="str">
        <f t="shared" si="6"/>
        <v>Issued</v>
      </c>
      <c r="O285" s="3" t="str">
        <f t="shared" si="7"/>
        <v>LOSS</v>
      </c>
      <c r="P285" s="3">
        <f t="shared" si="8"/>
        <v>1</v>
      </c>
      <c r="Q285" s="3">
        <f t="shared" si="9"/>
        <v>0</v>
      </c>
      <c r="R285" s="12">
        <f t="shared" si="10"/>
        <v>0</v>
      </c>
    </row>
    <row r="286">
      <c r="A286" s="3" t="s">
        <v>322</v>
      </c>
      <c r="B286" s="4">
        <v>46378.0</v>
      </c>
      <c r="C286" s="4" t="str">
        <f t="shared" si="1"/>
        <v>December</v>
      </c>
      <c r="D286" s="3" t="s">
        <v>30</v>
      </c>
      <c r="E286" s="3" t="s">
        <v>15</v>
      </c>
      <c r="F286" s="3" t="s">
        <v>78</v>
      </c>
      <c r="G286" s="3" t="str">
        <f>VLOOKUP(F286, 'KODE PESAWAT'!$A$2:$C$42, 3, FALSE)</f>
        <v>Virgin Australia Group</v>
      </c>
      <c r="H286" s="10">
        <v>1692000.0</v>
      </c>
      <c r="I286" s="10">
        <v>4230000.0</v>
      </c>
      <c r="J286" s="10">
        <f t="shared" si="2"/>
        <v>-2538000</v>
      </c>
      <c r="K286" s="11">
        <f t="shared" si="3"/>
        <v>-1.5</v>
      </c>
      <c r="L286" s="3" t="str">
        <f t="shared" si="4"/>
        <v>Over Buffer</v>
      </c>
      <c r="M286" s="10">
        <f t="shared" si="5"/>
        <v>-1692000</v>
      </c>
      <c r="N286" s="3" t="str">
        <f t="shared" si="6"/>
        <v>Refund</v>
      </c>
      <c r="O286" s="3" t="str">
        <f t="shared" si="7"/>
        <v>N/A</v>
      </c>
      <c r="P286" s="3">
        <f t="shared" si="8"/>
        <v>0</v>
      </c>
      <c r="Q286" s="3">
        <f t="shared" si="9"/>
        <v>0</v>
      </c>
      <c r="R286" s="12">
        <f t="shared" si="10"/>
        <v>1</v>
      </c>
    </row>
    <row r="287">
      <c r="A287" s="3" t="s">
        <v>323</v>
      </c>
      <c r="B287" s="4">
        <v>46176.0</v>
      </c>
      <c r="C287" s="4" t="str">
        <f t="shared" si="1"/>
        <v>June</v>
      </c>
      <c r="D287" s="3" t="s">
        <v>30</v>
      </c>
      <c r="E287" s="3" t="s">
        <v>15</v>
      </c>
      <c r="F287" s="3" t="s">
        <v>232</v>
      </c>
      <c r="G287" s="3" t="str">
        <f>VLOOKUP(F287, 'KODE PESAWAT'!$A$2:$C$42, 3, FALSE)</f>
        <v>Sriwijaya Air Group</v>
      </c>
      <c r="H287" s="10">
        <v>1150000.0</v>
      </c>
      <c r="I287" s="10">
        <v>1092500.0</v>
      </c>
      <c r="J287" s="10">
        <f t="shared" si="2"/>
        <v>57500</v>
      </c>
      <c r="K287" s="11">
        <f t="shared" si="3"/>
        <v>0.05</v>
      </c>
      <c r="L287" s="3" t="str">
        <f t="shared" si="4"/>
        <v>Normal</v>
      </c>
      <c r="M287" s="10">
        <f t="shared" si="5"/>
        <v>-57500</v>
      </c>
      <c r="N287" s="3" t="str">
        <f t="shared" si="6"/>
        <v>Issued</v>
      </c>
      <c r="O287" s="3" t="str">
        <f t="shared" si="7"/>
        <v>PROFIT</v>
      </c>
      <c r="P287" s="3">
        <f t="shared" si="8"/>
        <v>1</v>
      </c>
      <c r="Q287" s="3">
        <f t="shared" si="9"/>
        <v>1</v>
      </c>
      <c r="R287" s="12">
        <f t="shared" si="10"/>
        <v>0</v>
      </c>
    </row>
    <row r="288">
      <c r="A288" s="3" t="s">
        <v>324</v>
      </c>
      <c r="B288" s="4">
        <v>46168.0</v>
      </c>
      <c r="C288" s="4" t="str">
        <f t="shared" si="1"/>
        <v>May</v>
      </c>
      <c r="D288" s="3" t="s">
        <v>18</v>
      </c>
      <c r="E288" s="3" t="s">
        <v>11</v>
      </c>
      <c r="F288" s="3" t="s">
        <v>63</v>
      </c>
      <c r="G288" s="3" t="str">
        <f>VLOOKUP(F288, 'KODE PESAWAT'!$A$2:$C$42, 3, FALSE)</f>
        <v>Lion Air Group</v>
      </c>
      <c r="H288" s="10">
        <v>7995000.0</v>
      </c>
      <c r="I288" s="10">
        <v>1.1193E7</v>
      </c>
      <c r="J288" s="10">
        <f t="shared" si="2"/>
        <v>-3198000</v>
      </c>
      <c r="K288" s="11">
        <f t="shared" si="3"/>
        <v>-0.4</v>
      </c>
      <c r="L288" s="3" t="str">
        <f t="shared" si="4"/>
        <v>Fare Increase</v>
      </c>
      <c r="M288" s="10">
        <f t="shared" si="5"/>
        <v>3198000</v>
      </c>
      <c r="N288" s="3" t="str">
        <f t="shared" si="6"/>
        <v>Issued</v>
      </c>
      <c r="O288" s="3" t="str">
        <f t="shared" si="7"/>
        <v>LOSS</v>
      </c>
      <c r="P288" s="3">
        <f t="shared" si="8"/>
        <v>1</v>
      </c>
      <c r="Q288" s="3">
        <f t="shared" si="9"/>
        <v>0</v>
      </c>
      <c r="R288" s="12">
        <f t="shared" si="10"/>
        <v>0</v>
      </c>
    </row>
    <row r="289">
      <c r="A289" s="3" t="s">
        <v>325</v>
      </c>
      <c r="B289" s="4">
        <v>46359.0</v>
      </c>
      <c r="C289" s="4" t="str">
        <f t="shared" si="1"/>
        <v>December</v>
      </c>
      <c r="D289" s="3" t="s">
        <v>18</v>
      </c>
      <c r="E289" s="3" t="s">
        <v>11</v>
      </c>
      <c r="F289" s="3" t="s">
        <v>63</v>
      </c>
      <c r="G289" s="3" t="str">
        <f>VLOOKUP(F289, 'KODE PESAWAT'!$A$2:$C$42, 3, FALSE)</f>
        <v>Lion Air Group</v>
      </c>
      <c r="H289" s="10">
        <v>1715000.0</v>
      </c>
      <c r="I289" s="10">
        <v>1629250.0</v>
      </c>
      <c r="J289" s="10">
        <f t="shared" si="2"/>
        <v>85750</v>
      </c>
      <c r="K289" s="11">
        <f t="shared" si="3"/>
        <v>0.05</v>
      </c>
      <c r="L289" s="3" t="str">
        <f t="shared" si="4"/>
        <v>Normal</v>
      </c>
      <c r="M289" s="10">
        <f t="shared" si="5"/>
        <v>-85750</v>
      </c>
      <c r="N289" s="3" t="str">
        <f t="shared" si="6"/>
        <v>Issued</v>
      </c>
      <c r="O289" s="3" t="str">
        <f t="shared" si="7"/>
        <v>PROFIT</v>
      </c>
      <c r="P289" s="3">
        <f t="shared" si="8"/>
        <v>1</v>
      </c>
      <c r="Q289" s="3">
        <f t="shared" si="9"/>
        <v>1</v>
      </c>
      <c r="R289" s="12">
        <f t="shared" si="10"/>
        <v>0</v>
      </c>
    </row>
    <row r="290">
      <c r="A290" s="3" t="s">
        <v>326</v>
      </c>
      <c r="B290" s="4">
        <v>46379.0</v>
      </c>
      <c r="C290" s="4" t="str">
        <f t="shared" si="1"/>
        <v>December</v>
      </c>
      <c r="D290" s="3" t="s">
        <v>23</v>
      </c>
      <c r="E290" s="3" t="s">
        <v>15</v>
      </c>
      <c r="F290" s="3" t="s">
        <v>19</v>
      </c>
      <c r="G290" s="3" t="str">
        <f>VLOOKUP(F290, 'KODE PESAWAT'!$A$2:$C$42, 3, FALSE)</f>
        <v>Lion Air Group</v>
      </c>
      <c r="H290" s="10">
        <v>3486000.0</v>
      </c>
      <c r="I290" s="10">
        <v>4008899.9999999995</v>
      </c>
      <c r="J290" s="10">
        <f t="shared" si="2"/>
        <v>-522900</v>
      </c>
      <c r="K290" s="11">
        <f t="shared" si="3"/>
        <v>-0.15</v>
      </c>
      <c r="L290" s="3" t="str">
        <f t="shared" si="4"/>
        <v>Fare Increase</v>
      </c>
      <c r="M290" s="10">
        <f t="shared" si="5"/>
        <v>522900</v>
      </c>
      <c r="N290" s="3" t="str">
        <f t="shared" si="6"/>
        <v>Issued</v>
      </c>
      <c r="O290" s="3" t="str">
        <f t="shared" si="7"/>
        <v>LOSS</v>
      </c>
      <c r="P290" s="3">
        <f t="shared" si="8"/>
        <v>1</v>
      </c>
      <c r="Q290" s="3">
        <f t="shared" si="9"/>
        <v>0</v>
      </c>
      <c r="R290" s="12">
        <f t="shared" si="10"/>
        <v>0</v>
      </c>
    </row>
    <row r="291">
      <c r="A291" s="3" t="s">
        <v>327</v>
      </c>
      <c r="B291" s="4">
        <v>46236.0</v>
      </c>
      <c r="C291" s="4" t="str">
        <f t="shared" si="1"/>
        <v>August</v>
      </c>
      <c r="D291" s="3" t="s">
        <v>10</v>
      </c>
      <c r="E291" s="3" t="s">
        <v>11</v>
      </c>
      <c r="F291" s="3" t="s">
        <v>19</v>
      </c>
      <c r="G291" s="3" t="str">
        <f>VLOOKUP(F291, 'KODE PESAWAT'!$A$2:$C$42, 3, FALSE)</f>
        <v>Lion Air Group</v>
      </c>
      <c r="H291" s="10">
        <v>1722000.0</v>
      </c>
      <c r="I291" s="10">
        <v>1980299.9999999998</v>
      </c>
      <c r="J291" s="10">
        <f t="shared" si="2"/>
        <v>-258300</v>
      </c>
      <c r="K291" s="11">
        <f t="shared" si="3"/>
        <v>-0.15</v>
      </c>
      <c r="L291" s="3" t="str">
        <f t="shared" si="4"/>
        <v>Fare Increase</v>
      </c>
      <c r="M291" s="10">
        <f t="shared" si="5"/>
        <v>258300</v>
      </c>
      <c r="N291" s="3" t="str">
        <f t="shared" si="6"/>
        <v>Issued</v>
      </c>
      <c r="O291" s="3" t="str">
        <f t="shared" si="7"/>
        <v>LOSS</v>
      </c>
      <c r="P291" s="3">
        <f t="shared" si="8"/>
        <v>1</v>
      </c>
      <c r="Q291" s="3">
        <f t="shared" si="9"/>
        <v>0</v>
      </c>
      <c r="R291" s="12">
        <f t="shared" si="10"/>
        <v>0</v>
      </c>
    </row>
    <row r="292">
      <c r="A292" s="3" t="s">
        <v>328</v>
      </c>
      <c r="B292" s="4">
        <v>46186.0</v>
      </c>
      <c r="C292" s="4" t="str">
        <f t="shared" si="1"/>
        <v>June</v>
      </c>
      <c r="D292" s="3" t="s">
        <v>10</v>
      </c>
      <c r="E292" s="3" t="s">
        <v>11</v>
      </c>
      <c r="F292" s="3" t="s">
        <v>63</v>
      </c>
      <c r="G292" s="3" t="str">
        <f>VLOOKUP(F292, 'KODE PESAWAT'!$A$2:$C$42, 3, FALSE)</f>
        <v>Lion Air Group</v>
      </c>
      <c r="H292" s="10">
        <v>1226000.0</v>
      </c>
      <c r="I292" s="10">
        <v>1716400.0</v>
      </c>
      <c r="J292" s="10">
        <f t="shared" si="2"/>
        <v>-490400</v>
      </c>
      <c r="K292" s="11">
        <f t="shared" si="3"/>
        <v>-0.4</v>
      </c>
      <c r="L292" s="3" t="str">
        <f t="shared" si="4"/>
        <v>Fare Increase</v>
      </c>
      <c r="M292" s="10">
        <f t="shared" si="5"/>
        <v>490400</v>
      </c>
      <c r="N292" s="3" t="str">
        <f t="shared" si="6"/>
        <v>Issued</v>
      </c>
      <c r="O292" s="3" t="str">
        <f t="shared" si="7"/>
        <v>LOSS</v>
      </c>
      <c r="P292" s="3">
        <f t="shared" si="8"/>
        <v>1</v>
      </c>
      <c r="Q292" s="3">
        <f t="shared" si="9"/>
        <v>0</v>
      </c>
      <c r="R292" s="12">
        <f t="shared" si="10"/>
        <v>0</v>
      </c>
    </row>
    <row r="293">
      <c r="A293" s="3" t="s">
        <v>329</v>
      </c>
      <c r="B293" s="4">
        <v>46251.0</v>
      </c>
      <c r="C293" s="4" t="str">
        <f t="shared" si="1"/>
        <v>August</v>
      </c>
      <c r="D293" s="3" t="s">
        <v>30</v>
      </c>
      <c r="E293" s="3" t="s">
        <v>15</v>
      </c>
      <c r="F293" s="3" t="s">
        <v>78</v>
      </c>
      <c r="G293" s="3" t="str">
        <f>VLOOKUP(F293, 'KODE PESAWAT'!$A$2:$C$42, 3, FALSE)</f>
        <v>Virgin Australia Group</v>
      </c>
      <c r="H293" s="10">
        <v>951000.0</v>
      </c>
      <c r="I293" s="10">
        <v>903450.0</v>
      </c>
      <c r="J293" s="10">
        <f t="shared" si="2"/>
        <v>47550</v>
      </c>
      <c r="K293" s="11">
        <f t="shared" si="3"/>
        <v>0.05</v>
      </c>
      <c r="L293" s="3" t="str">
        <f t="shared" si="4"/>
        <v>Normal</v>
      </c>
      <c r="M293" s="10">
        <f t="shared" si="5"/>
        <v>-47550</v>
      </c>
      <c r="N293" s="3" t="str">
        <f t="shared" si="6"/>
        <v>Issued</v>
      </c>
      <c r="O293" s="3" t="str">
        <f t="shared" si="7"/>
        <v>PROFIT</v>
      </c>
      <c r="P293" s="3">
        <f t="shared" si="8"/>
        <v>1</v>
      </c>
      <c r="Q293" s="3">
        <f t="shared" si="9"/>
        <v>1</v>
      </c>
      <c r="R293" s="12">
        <f t="shared" si="10"/>
        <v>0</v>
      </c>
    </row>
    <row r="294">
      <c r="A294" s="3" t="s">
        <v>330</v>
      </c>
      <c r="B294" s="4">
        <v>46288.0</v>
      </c>
      <c r="C294" s="4" t="str">
        <f t="shared" si="1"/>
        <v>September</v>
      </c>
      <c r="D294" s="3" t="s">
        <v>25</v>
      </c>
      <c r="E294" s="3" t="s">
        <v>15</v>
      </c>
      <c r="F294" s="3" t="s">
        <v>42</v>
      </c>
      <c r="G294" s="3" t="str">
        <f>VLOOKUP(F294, 'KODE PESAWAT'!$A$2:$C$42, 3, FALSE)</f>
        <v>Vietnam Airlines Group</v>
      </c>
      <c r="H294" s="10">
        <v>1120000.0</v>
      </c>
      <c r="I294" s="10">
        <v>1568000.0</v>
      </c>
      <c r="J294" s="10">
        <f t="shared" si="2"/>
        <v>-448000</v>
      </c>
      <c r="K294" s="11">
        <f t="shared" si="3"/>
        <v>-0.4</v>
      </c>
      <c r="L294" s="3" t="str">
        <f t="shared" si="4"/>
        <v>Fare Increase</v>
      </c>
      <c r="M294" s="10">
        <f t="shared" si="5"/>
        <v>448000</v>
      </c>
      <c r="N294" s="3" t="str">
        <f t="shared" si="6"/>
        <v>Issued</v>
      </c>
      <c r="O294" s="3" t="str">
        <f t="shared" si="7"/>
        <v>LOSS</v>
      </c>
      <c r="P294" s="3">
        <f t="shared" si="8"/>
        <v>1</v>
      </c>
      <c r="Q294" s="3">
        <f t="shared" si="9"/>
        <v>0</v>
      </c>
      <c r="R294" s="12">
        <f t="shared" si="10"/>
        <v>0</v>
      </c>
    </row>
    <row r="295">
      <c r="A295" s="3" t="s">
        <v>331</v>
      </c>
      <c r="B295" s="4">
        <v>46352.0</v>
      </c>
      <c r="C295" s="4" t="str">
        <f t="shared" si="1"/>
        <v>November</v>
      </c>
      <c r="D295" s="3" t="s">
        <v>18</v>
      </c>
      <c r="E295" s="3" t="s">
        <v>11</v>
      </c>
      <c r="F295" s="3" t="s">
        <v>19</v>
      </c>
      <c r="G295" s="3" t="str">
        <f>VLOOKUP(F295, 'KODE PESAWAT'!$A$2:$C$42, 3, FALSE)</f>
        <v>Lion Air Group</v>
      </c>
      <c r="H295" s="10">
        <v>1385000.0</v>
      </c>
      <c r="I295" s="10">
        <v>1315750.0</v>
      </c>
      <c r="J295" s="10">
        <f t="shared" si="2"/>
        <v>69250</v>
      </c>
      <c r="K295" s="11">
        <f t="shared" si="3"/>
        <v>0.05</v>
      </c>
      <c r="L295" s="3" t="str">
        <f t="shared" si="4"/>
        <v>Normal</v>
      </c>
      <c r="M295" s="10">
        <f t="shared" si="5"/>
        <v>-69250</v>
      </c>
      <c r="N295" s="3" t="str">
        <f t="shared" si="6"/>
        <v>Issued</v>
      </c>
      <c r="O295" s="3" t="str">
        <f t="shared" si="7"/>
        <v>PROFIT</v>
      </c>
      <c r="P295" s="3">
        <f t="shared" si="8"/>
        <v>1</v>
      </c>
      <c r="Q295" s="3">
        <f t="shared" si="9"/>
        <v>1</v>
      </c>
      <c r="R295" s="12">
        <f t="shared" si="10"/>
        <v>0</v>
      </c>
    </row>
    <row r="296">
      <c r="A296" s="3" t="s">
        <v>332</v>
      </c>
      <c r="B296" s="4">
        <v>46316.0</v>
      </c>
      <c r="C296" s="4" t="str">
        <f t="shared" si="1"/>
        <v>October</v>
      </c>
      <c r="D296" s="3" t="s">
        <v>23</v>
      </c>
      <c r="E296" s="3" t="s">
        <v>15</v>
      </c>
      <c r="F296" s="3" t="s">
        <v>31</v>
      </c>
      <c r="G296" s="3" t="str">
        <f>VLOOKUP(F296, 'KODE PESAWAT'!$A$2:$C$42, 3, FALSE)</f>
        <v>Garuda Indonesia Group</v>
      </c>
      <c r="H296" s="10">
        <v>930000.0</v>
      </c>
      <c r="I296" s="10">
        <v>1069500.0</v>
      </c>
      <c r="J296" s="10">
        <f t="shared" si="2"/>
        <v>-139500</v>
      </c>
      <c r="K296" s="11">
        <f t="shared" si="3"/>
        <v>-0.15</v>
      </c>
      <c r="L296" s="3" t="str">
        <f t="shared" si="4"/>
        <v>Fare Increase</v>
      </c>
      <c r="M296" s="10">
        <f t="shared" si="5"/>
        <v>139500</v>
      </c>
      <c r="N296" s="3" t="str">
        <f t="shared" si="6"/>
        <v>Issued</v>
      </c>
      <c r="O296" s="3" t="str">
        <f t="shared" si="7"/>
        <v>LOSS</v>
      </c>
      <c r="P296" s="3">
        <f t="shared" si="8"/>
        <v>1</v>
      </c>
      <c r="Q296" s="3">
        <f t="shared" si="9"/>
        <v>0</v>
      </c>
      <c r="R296" s="12">
        <f t="shared" si="10"/>
        <v>0</v>
      </c>
    </row>
    <row r="297">
      <c r="A297" s="3" t="s">
        <v>333</v>
      </c>
      <c r="B297" s="4">
        <v>46068.0</v>
      </c>
      <c r="C297" s="4" t="str">
        <f t="shared" si="1"/>
        <v>February</v>
      </c>
      <c r="D297" s="3" t="s">
        <v>25</v>
      </c>
      <c r="E297" s="3" t="s">
        <v>15</v>
      </c>
      <c r="F297" s="3" t="s">
        <v>42</v>
      </c>
      <c r="G297" s="3" t="str">
        <f>VLOOKUP(F297, 'KODE PESAWAT'!$A$2:$C$42, 3, FALSE)</f>
        <v>Vietnam Airlines Group</v>
      </c>
      <c r="H297" s="10">
        <v>1248000.0</v>
      </c>
      <c r="I297" s="10">
        <v>1747200.0</v>
      </c>
      <c r="J297" s="10">
        <f t="shared" si="2"/>
        <v>-499200</v>
      </c>
      <c r="K297" s="11">
        <f t="shared" si="3"/>
        <v>-0.4</v>
      </c>
      <c r="L297" s="3" t="str">
        <f t="shared" si="4"/>
        <v>Fare Increase</v>
      </c>
      <c r="M297" s="10">
        <f t="shared" si="5"/>
        <v>499200</v>
      </c>
      <c r="N297" s="3" t="str">
        <f t="shared" si="6"/>
        <v>Issued</v>
      </c>
      <c r="O297" s="3" t="str">
        <f t="shared" si="7"/>
        <v>LOSS</v>
      </c>
      <c r="P297" s="3">
        <f t="shared" si="8"/>
        <v>1</v>
      </c>
      <c r="Q297" s="3">
        <f t="shared" si="9"/>
        <v>0</v>
      </c>
      <c r="R297" s="12">
        <f t="shared" si="10"/>
        <v>0</v>
      </c>
    </row>
    <row r="298">
      <c r="A298" s="3" t="s">
        <v>334</v>
      </c>
      <c r="B298" s="4">
        <v>46305.0</v>
      </c>
      <c r="C298" s="4" t="str">
        <f t="shared" si="1"/>
        <v>October</v>
      </c>
      <c r="D298" s="3" t="s">
        <v>18</v>
      </c>
      <c r="E298" s="3" t="s">
        <v>11</v>
      </c>
      <c r="F298" s="3" t="s">
        <v>63</v>
      </c>
      <c r="G298" s="3" t="str">
        <f>VLOOKUP(F298, 'KODE PESAWAT'!$A$2:$C$42, 3, FALSE)</f>
        <v>Lion Air Group</v>
      </c>
      <c r="H298" s="10">
        <v>1.0804E7</v>
      </c>
      <c r="I298" s="10">
        <v>1.02638E7</v>
      </c>
      <c r="J298" s="10">
        <f t="shared" si="2"/>
        <v>540200</v>
      </c>
      <c r="K298" s="11">
        <f t="shared" si="3"/>
        <v>0.05</v>
      </c>
      <c r="L298" s="3" t="str">
        <f t="shared" si="4"/>
        <v>Normal</v>
      </c>
      <c r="M298" s="10">
        <f t="shared" si="5"/>
        <v>-540200</v>
      </c>
      <c r="N298" s="3" t="str">
        <f t="shared" si="6"/>
        <v>Issued</v>
      </c>
      <c r="O298" s="3" t="str">
        <f t="shared" si="7"/>
        <v>PROFIT</v>
      </c>
      <c r="P298" s="3">
        <f t="shared" si="8"/>
        <v>1</v>
      </c>
      <c r="Q298" s="3">
        <f t="shared" si="9"/>
        <v>1</v>
      </c>
      <c r="R298" s="12">
        <f t="shared" si="10"/>
        <v>0</v>
      </c>
    </row>
    <row r="299">
      <c r="A299" s="3" t="s">
        <v>335</v>
      </c>
      <c r="B299" s="4">
        <v>46360.0</v>
      </c>
      <c r="C299" s="4" t="str">
        <f t="shared" si="1"/>
        <v>December</v>
      </c>
      <c r="D299" s="3" t="s">
        <v>18</v>
      </c>
      <c r="E299" s="3" t="s">
        <v>11</v>
      </c>
      <c r="F299" s="3" t="s">
        <v>19</v>
      </c>
      <c r="G299" s="3" t="str">
        <f>VLOOKUP(F299, 'KODE PESAWAT'!$A$2:$C$42, 3, FALSE)</f>
        <v>Lion Air Group</v>
      </c>
      <c r="H299" s="10">
        <v>1.3867E7</v>
      </c>
      <c r="I299" s="10">
        <v>1.94138E7</v>
      </c>
      <c r="J299" s="10">
        <f t="shared" si="2"/>
        <v>-5546800</v>
      </c>
      <c r="K299" s="11">
        <f t="shared" si="3"/>
        <v>-0.4</v>
      </c>
      <c r="L299" s="3" t="str">
        <f t="shared" si="4"/>
        <v>Fare Increase</v>
      </c>
      <c r="M299" s="10">
        <f t="shared" si="5"/>
        <v>5546800</v>
      </c>
      <c r="N299" s="3" t="str">
        <f t="shared" si="6"/>
        <v>Issued</v>
      </c>
      <c r="O299" s="3" t="str">
        <f t="shared" si="7"/>
        <v>LOSS</v>
      </c>
      <c r="P299" s="3">
        <f t="shared" si="8"/>
        <v>1</v>
      </c>
      <c r="Q299" s="3">
        <f t="shared" si="9"/>
        <v>0</v>
      </c>
      <c r="R299" s="12">
        <f t="shared" si="10"/>
        <v>0</v>
      </c>
    </row>
    <row r="300">
      <c r="A300" s="3" t="s">
        <v>336</v>
      </c>
      <c r="B300" s="4">
        <v>46177.0</v>
      </c>
      <c r="C300" s="4" t="str">
        <f t="shared" si="1"/>
        <v>June</v>
      </c>
      <c r="D300" s="3" t="s">
        <v>25</v>
      </c>
      <c r="E300" s="3" t="s">
        <v>15</v>
      </c>
      <c r="F300" s="3" t="s">
        <v>42</v>
      </c>
      <c r="G300" s="3" t="str">
        <f>VLOOKUP(F300, 'KODE PESAWAT'!$A$2:$C$42, 3, FALSE)</f>
        <v>Vietnam Airlines Group</v>
      </c>
      <c r="H300" s="10">
        <v>1.3298E7</v>
      </c>
      <c r="I300" s="10">
        <v>1.5292699999999998E7</v>
      </c>
      <c r="J300" s="10">
        <f t="shared" si="2"/>
        <v>-1994700</v>
      </c>
      <c r="K300" s="11">
        <f t="shared" si="3"/>
        <v>-0.15</v>
      </c>
      <c r="L300" s="3" t="str">
        <f t="shared" si="4"/>
        <v>Fare Increase</v>
      </c>
      <c r="M300" s="10">
        <f t="shared" si="5"/>
        <v>1994700</v>
      </c>
      <c r="N300" s="3" t="str">
        <f t="shared" si="6"/>
        <v>Issued</v>
      </c>
      <c r="O300" s="3" t="str">
        <f t="shared" si="7"/>
        <v>LOSS</v>
      </c>
      <c r="P300" s="3">
        <f t="shared" si="8"/>
        <v>1</v>
      </c>
      <c r="Q300" s="3">
        <f t="shared" si="9"/>
        <v>0</v>
      </c>
      <c r="R300" s="12">
        <f t="shared" si="10"/>
        <v>0</v>
      </c>
    </row>
    <row r="301">
      <c r="A301" s="3" t="s">
        <v>337</v>
      </c>
      <c r="B301" s="4">
        <v>46024.0</v>
      </c>
      <c r="C301" s="4" t="str">
        <f t="shared" si="1"/>
        <v>January</v>
      </c>
      <c r="D301" s="3" t="s">
        <v>23</v>
      </c>
      <c r="E301" s="3" t="s">
        <v>15</v>
      </c>
      <c r="F301" s="3" t="s">
        <v>31</v>
      </c>
      <c r="G301" s="3" t="str">
        <f>VLOOKUP(F301, 'KODE PESAWAT'!$A$2:$C$42, 3, FALSE)</f>
        <v>Garuda Indonesia Group</v>
      </c>
      <c r="H301" s="10">
        <v>8599000.0</v>
      </c>
      <c r="I301" s="10">
        <v>2.14975E7</v>
      </c>
      <c r="J301" s="10">
        <f t="shared" si="2"/>
        <v>-12898500</v>
      </c>
      <c r="K301" s="11">
        <f t="shared" si="3"/>
        <v>-1.5</v>
      </c>
      <c r="L301" s="3" t="str">
        <f t="shared" si="4"/>
        <v>Over Buffer</v>
      </c>
      <c r="M301" s="10">
        <f t="shared" si="5"/>
        <v>-8599000</v>
      </c>
      <c r="N301" s="3" t="str">
        <f t="shared" si="6"/>
        <v>Refund</v>
      </c>
      <c r="O301" s="3" t="str">
        <f t="shared" si="7"/>
        <v>N/A</v>
      </c>
      <c r="P301" s="3">
        <f t="shared" si="8"/>
        <v>0</v>
      </c>
      <c r="Q301" s="3">
        <f t="shared" si="9"/>
        <v>0</v>
      </c>
      <c r="R301" s="12">
        <f t="shared" si="10"/>
        <v>1</v>
      </c>
    </row>
    <row r="302">
      <c r="A302" s="3" t="s">
        <v>338</v>
      </c>
      <c r="B302" s="4">
        <v>46122.0</v>
      </c>
      <c r="C302" s="4" t="str">
        <f t="shared" si="1"/>
        <v>April</v>
      </c>
      <c r="D302" s="3" t="s">
        <v>23</v>
      </c>
      <c r="E302" s="3" t="s">
        <v>15</v>
      </c>
      <c r="F302" s="3" t="s">
        <v>31</v>
      </c>
      <c r="G302" s="3" t="str">
        <f>VLOOKUP(F302, 'KODE PESAWAT'!$A$2:$C$42, 3, FALSE)</f>
        <v>Garuda Indonesia Group</v>
      </c>
      <c r="H302" s="10">
        <v>2901000.0</v>
      </c>
      <c r="I302" s="10">
        <v>3336149.9999999995</v>
      </c>
      <c r="J302" s="10">
        <f t="shared" si="2"/>
        <v>-435150</v>
      </c>
      <c r="K302" s="11">
        <f t="shared" si="3"/>
        <v>-0.15</v>
      </c>
      <c r="L302" s="3" t="str">
        <f t="shared" si="4"/>
        <v>Fare Increase</v>
      </c>
      <c r="M302" s="10">
        <f t="shared" si="5"/>
        <v>435150</v>
      </c>
      <c r="N302" s="3" t="str">
        <f t="shared" si="6"/>
        <v>Issued</v>
      </c>
      <c r="O302" s="3" t="str">
        <f t="shared" si="7"/>
        <v>LOSS</v>
      </c>
      <c r="P302" s="3">
        <f t="shared" si="8"/>
        <v>1</v>
      </c>
      <c r="Q302" s="3">
        <f t="shared" si="9"/>
        <v>0</v>
      </c>
      <c r="R302" s="12">
        <f t="shared" si="10"/>
        <v>0</v>
      </c>
    </row>
    <row r="303">
      <c r="A303" s="3" t="s">
        <v>339</v>
      </c>
      <c r="B303" s="4">
        <v>46238.0</v>
      </c>
      <c r="C303" s="4" t="str">
        <f t="shared" si="1"/>
        <v>August</v>
      </c>
      <c r="D303" s="3" t="s">
        <v>30</v>
      </c>
      <c r="E303" s="3" t="s">
        <v>15</v>
      </c>
      <c r="F303" s="3" t="s">
        <v>340</v>
      </c>
      <c r="G303" s="3" t="str">
        <f>VLOOKUP(F303, 'KODE PESAWAT'!$A$2:$C$42, 3, FALSE)</f>
        <v>AirAsia Group</v>
      </c>
      <c r="H303" s="10">
        <v>1142000.0</v>
      </c>
      <c r="I303" s="10">
        <v>1598800.0</v>
      </c>
      <c r="J303" s="10">
        <f t="shared" si="2"/>
        <v>-456800</v>
      </c>
      <c r="K303" s="11">
        <f t="shared" si="3"/>
        <v>-0.4</v>
      </c>
      <c r="L303" s="3" t="str">
        <f t="shared" si="4"/>
        <v>Fare Increase</v>
      </c>
      <c r="M303" s="10">
        <f t="shared" si="5"/>
        <v>456800</v>
      </c>
      <c r="N303" s="3" t="str">
        <f t="shared" si="6"/>
        <v>Issued</v>
      </c>
      <c r="O303" s="3" t="str">
        <f t="shared" si="7"/>
        <v>LOSS</v>
      </c>
      <c r="P303" s="3">
        <f t="shared" si="8"/>
        <v>1</v>
      </c>
      <c r="Q303" s="3">
        <f t="shared" si="9"/>
        <v>0</v>
      </c>
      <c r="R303" s="12">
        <f t="shared" si="10"/>
        <v>0</v>
      </c>
    </row>
    <row r="304">
      <c r="A304" s="3" t="s">
        <v>341</v>
      </c>
      <c r="B304" s="4">
        <v>46376.0</v>
      </c>
      <c r="C304" s="4" t="str">
        <f t="shared" si="1"/>
        <v>December</v>
      </c>
      <c r="D304" s="3" t="s">
        <v>23</v>
      </c>
      <c r="E304" s="3" t="s">
        <v>15</v>
      </c>
      <c r="F304" s="3" t="s">
        <v>33</v>
      </c>
      <c r="G304" s="3" t="str">
        <f>VLOOKUP(F304, 'KODE PESAWAT'!$A$2:$C$42, 3, FALSE)</f>
        <v>Garuda Indonesia Group</v>
      </c>
      <c r="H304" s="10">
        <v>1.2674E7</v>
      </c>
      <c r="I304" s="10">
        <v>1.20403E7</v>
      </c>
      <c r="J304" s="10">
        <f t="shared" si="2"/>
        <v>633700</v>
      </c>
      <c r="K304" s="11">
        <f t="shared" si="3"/>
        <v>0.05</v>
      </c>
      <c r="L304" s="3" t="str">
        <f t="shared" si="4"/>
        <v>Normal</v>
      </c>
      <c r="M304" s="10">
        <f t="shared" si="5"/>
        <v>-633700</v>
      </c>
      <c r="N304" s="3" t="str">
        <f t="shared" si="6"/>
        <v>Issued</v>
      </c>
      <c r="O304" s="3" t="str">
        <f t="shared" si="7"/>
        <v>PROFIT</v>
      </c>
      <c r="P304" s="3">
        <f t="shared" si="8"/>
        <v>1</v>
      </c>
      <c r="Q304" s="3">
        <f t="shared" si="9"/>
        <v>1</v>
      </c>
      <c r="R304" s="12">
        <f t="shared" si="10"/>
        <v>0</v>
      </c>
    </row>
    <row r="305">
      <c r="A305" s="3" t="s">
        <v>342</v>
      </c>
      <c r="B305" s="4">
        <v>46237.0</v>
      </c>
      <c r="C305" s="4" t="str">
        <f t="shared" si="1"/>
        <v>August</v>
      </c>
      <c r="D305" s="3" t="s">
        <v>18</v>
      </c>
      <c r="E305" s="3" t="s">
        <v>11</v>
      </c>
      <c r="F305" s="3" t="s">
        <v>19</v>
      </c>
      <c r="G305" s="3" t="str">
        <f>VLOOKUP(F305, 'KODE PESAWAT'!$A$2:$C$42, 3, FALSE)</f>
        <v>Lion Air Group</v>
      </c>
      <c r="H305" s="10">
        <v>622000.0</v>
      </c>
      <c r="I305" s="10">
        <v>1555000.0</v>
      </c>
      <c r="J305" s="10">
        <f t="shared" si="2"/>
        <v>-933000</v>
      </c>
      <c r="K305" s="11">
        <f t="shared" si="3"/>
        <v>-1.5</v>
      </c>
      <c r="L305" s="3" t="str">
        <f t="shared" si="4"/>
        <v>Over Buffer</v>
      </c>
      <c r="M305" s="10">
        <f t="shared" si="5"/>
        <v>-622000</v>
      </c>
      <c r="N305" s="3" t="str">
        <f t="shared" si="6"/>
        <v>Refund</v>
      </c>
      <c r="O305" s="3" t="str">
        <f t="shared" si="7"/>
        <v>N/A</v>
      </c>
      <c r="P305" s="3">
        <f t="shared" si="8"/>
        <v>0</v>
      </c>
      <c r="Q305" s="3">
        <f t="shared" si="9"/>
        <v>0</v>
      </c>
      <c r="R305" s="12">
        <f t="shared" si="10"/>
        <v>1</v>
      </c>
    </row>
    <row r="306">
      <c r="A306" s="3" t="s">
        <v>343</v>
      </c>
      <c r="B306" s="4">
        <v>46101.0</v>
      </c>
      <c r="C306" s="4" t="str">
        <f t="shared" si="1"/>
        <v>March</v>
      </c>
      <c r="D306" s="3" t="s">
        <v>25</v>
      </c>
      <c r="E306" s="3" t="s">
        <v>15</v>
      </c>
      <c r="F306" s="3" t="s">
        <v>42</v>
      </c>
      <c r="G306" s="3" t="str">
        <f>VLOOKUP(F306, 'KODE PESAWAT'!$A$2:$C$42, 3, FALSE)</f>
        <v>Vietnam Airlines Group</v>
      </c>
      <c r="H306" s="10">
        <v>6007000.0</v>
      </c>
      <c r="I306" s="10">
        <v>6908049.999999999</v>
      </c>
      <c r="J306" s="10">
        <f t="shared" si="2"/>
        <v>-901050</v>
      </c>
      <c r="K306" s="11">
        <f t="shared" si="3"/>
        <v>-0.15</v>
      </c>
      <c r="L306" s="3" t="str">
        <f t="shared" si="4"/>
        <v>Fare Increase</v>
      </c>
      <c r="M306" s="10">
        <f t="shared" si="5"/>
        <v>901050</v>
      </c>
      <c r="N306" s="3" t="str">
        <f t="shared" si="6"/>
        <v>Issued</v>
      </c>
      <c r="O306" s="3" t="str">
        <f t="shared" si="7"/>
        <v>LOSS</v>
      </c>
      <c r="P306" s="3">
        <f t="shared" si="8"/>
        <v>1</v>
      </c>
      <c r="Q306" s="3">
        <f t="shared" si="9"/>
        <v>0</v>
      </c>
      <c r="R306" s="12">
        <f t="shared" si="10"/>
        <v>0</v>
      </c>
    </row>
    <row r="307">
      <c r="A307" s="3" t="s">
        <v>344</v>
      </c>
      <c r="B307" s="4">
        <v>46085.0</v>
      </c>
      <c r="C307" s="4" t="str">
        <f t="shared" si="1"/>
        <v>March</v>
      </c>
      <c r="D307" s="3" t="s">
        <v>18</v>
      </c>
      <c r="E307" s="3" t="s">
        <v>11</v>
      </c>
      <c r="F307" s="3" t="s">
        <v>35</v>
      </c>
      <c r="G307" s="3" t="str">
        <f>VLOOKUP(F307, 'KODE PESAWAT'!$A$2:$C$42, 3, FALSE)</f>
        <v>Lion Air Group</v>
      </c>
      <c r="H307" s="10">
        <v>832000.0</v>
      </c>
      <c r="I307" s="10">
        <v>790400.0</v>
      </c>
      <c r="J307" s="10">
        <f t="shared" si="2"/>
        <v>41600</v>
      </c>
      <c r="K307" s="11">
        <f t="shared" si="3"/>
        <v>0.05</v>
      </c>
      <c r="L307" s="3" t="str">
        <f t="shared" si="4"/>
        <v>Normal</v>
      </c>
      <c r="M307" s="10">
        <f t="shared" si="5"/>
        <v>-41600</v>
      </c>
      <c r="N307" s="3" t="str">
        <f t="shared" si="6"/>
        <v>Issued</v>
      </c>
      <c r="O307" s="3" t="str">
        <f t="shared" si="7"/>
        <v>PROFIT</v>
      </c>
      <c r="P307" s="3">
        <f t="shared" si="8"/>
        <v>1</v>
      </c>
      <c r="Q307" s="3">
        <f t="shared" si="9"/>
        <v>1</v>
      </c>
      <c r="R307" s="12">
        <f t="shared" si="10"/>
        <v>0</v>
      </c>
    </row>
    <row r="308">
      <c r="A308" s="3" t="s">
        <v>345</v>
      </c>
      <c r="B308" s="4">
        <v>46334.0</v>
      </c>
      <c r="C308" s="4" t="str">
        <f t="shared" si="1"/>
        <v>November</v>
      </c>
      <c r="D308" s="3" t="s">
        <v>14</v>
      </c>
      <c r="E308" s="3" t="s">
        <v>15</v>
      </c>
      <c r="F308" s="3" t="s">
        <v>16</v>
      </c>
      <c r="G308" s="3" t="str">
        <f>VLOOKUP(F308, 'KODE PESAWAT'!$A$2:$C$42, 3, FALSE)</f>
        <v>Thai Airways Group (Associate)</v>
      </c>
      <c r="H308" s="10">
        <v>7440000.0</v>
      </c>
      <c r="I308" s="10">
        <v>7068000.0</v>
      </c>
      <c r="J308" s="10">
        <f t="shared" si="2"/>
        <v>372000</v>
      </c>
      <c r="K308" s="11">
        <f t="shared" si="3"/>
        <v>0.05</v>
      </c>
      <c r="L308" s="3" t="str">
        <f t="shared" si="4"/>
        <v>Normal</v>
      </c>
      <c r="M308" s="10">
        <f t="shared" si="5"/>
        <v>-372000</v>
      </c>
      <c r="N308" s="3" t="str">
        <f t="shared" si="6"/>
        <v>Issued</v>
      </c>
      <c r="O308" s="3" t="str">
        <f t="shared" si="7"/>
        <v>PROFIT</v>
      </c>
      <c r="P308" s="3">
        <f t="shared" si="8"/>
        <v>1</v>
      </c>
      <c r="Q308" s="3">
        <f t="shared" si="9"/>
        <v>1</v>
      </c>
      <c r="R308" s="12">
        <f t="shared" si="10"/>
        <v>0</v>
      </c>
    </row>
    <row r="309">
      <c r="A309" s="3" t="s">
        <v>346</v>
      </c>
      <c r="B309" s="4">
        <v>46034.0</v>
      </c>
      <c r="C309" s="4" t="str">
        <f t="shared" si="1"/>
        <v>January</v>
      </c>
      <c r="D309" s="3" t="s">
        <v>14</v>
      </c>
      <c r="E309" s="3" t="s">
        <v>15</v>
      </c>
      <c r="F309" s="3" t="s">
        <v>37</v>
      </c>
      <c r="G309" s="3" t="str">
        <f>VLOOKUP(F309, 'KODE PESAWAT'!$A$2:$C$42, 3, FALSE)</f>
        <v>Lion Air Group</v>
      </c>
      <c r="H309" s="10">
        <v>8549000.0</v>
      </c>
      <c r="I309" s="10">
        <v>8121550.0</v>
      </c>
      <c r="J309" s="10">
        <f t="shared" si="2"/>
        <v>427450</v>
      </c>
      <c r="K309" s="11">
        <f t="shared" si="3"/>
        <v>0.05</v>
      </c>
      <c r="L309" s="3" t="str">
        <f t="shared" si="4"/>
        <v>Normal</v>
      </c>
      <c r="M309" s="10">
        <f t="shared" si="5"/>
        <v>-427450</v>
      </c>
      <c r="N309" s="3" t="str">
        <f t="shared" si="6"/>
        <v>Issued</v>
      </c>
      <c r="O309" s="3" t="str">
        <f t="shared" si="7"/>
        <v>PROFIT</v>
      </c>
      <c r="P309" s="3">
        <f t="shared" si="8"/>
        <v>1</v>
      </c>
      <c r="Q309" s="3">
        <f t="shared" si="9"/>
        <v>1</v>
      </c>
      <c r="R309" s="12">
        <f t="shared" si="10"/>
        <v>0</v>
      </c>
    </row>
    <row r="310">
      <c r="A310" s="3" t="s">
        <v>347</v>
      </c>
      <c r="B310" s="4">
        <v>46102.0</v>
      </c>
      <c r="C310" s="4" t="str">
        <f t="shared" si="1"/>
        <v>March</v>
      </c>
      <c r="D310" s="3" t="s">
        <v>10</v>
      </c>
      <c r="E310" s="3" t="s">
        <v>11</v>
      </c>
      <c r="F310" s="3" t="s">
        <v>35</v>
      </c>
      <c r="G310" s="3" t="str">
        <f>VLOOKUP(F310, 'KODE PESAWAT'!$A$2:$C$42, 3, FALSE)</f>
        <v>Lion Air Group</v>
      </c>
      <c r="H310" s="10">
        <v>1751000.0</v>
      </c>
      <c r="I310" s="10">
        <v>4377500.0</v>
      </c>
      <c r="J310" s="10">
        <f t="shared" si="2"/>
        <v>-2626500</v>
      </c>
      <c r="K310" s="11">
        <f t="shared" si="3"/>
        <v>-1.5</v>
      </c>
      <c r="L310" s="3" t="str">
        <f t="shared" si="4"/>
        <v>Over Buffer</v>
      </c>
      <c r="M310" s="10">
        <f t="shared" si="5"/>
        <v>-1751000</v>
      </c>
      <c r="N310" s="3" t="str">
        <f t="shared" si="6"/>
        <v>Refund</v>
      </c>
      <c r="O310" s="3" t="str">
        <f t="shared" si="7"/>
        <v>N/A</v>
      </c>
      <c r="P310" s="3">
        <f t="shared" si="8"/>
        <v>0</v>
      </c>
      <c r="Q310" s="3">
        <f t="shared" si="9"/>
        <v>0</v>
      </c>
      <c r="R310" s="12">
        <f t="shared" si="10"/>
        <v>1</v>
      </c>
    </row>
    <row r="311">
      <c r="A311" s="3" t="s">
        <v>348</v>
      </c>
      <c r="B311" s="4">
        <v>46035.0</v>
      </c>
      <c r="C311" s="4" t="str">
        <f t="shared" si="1"/>
        <v>January</v>
      </c>
      <c r="D311" s="3" t="s">
        <v>18</v>
      </c>
      <c r="E311" s="3" t="s">
        <v>11</v>
      </c>
      <c r="F311" s="3" t="s">
        <v>21</v>
      </c>
      <c r="G311" s="3" t="str">
        <f>VLOOKUP(F311, 'KODE PESAWAT'!$A$2:$C$42, 3, FALSE)</f>
        <v>Singapore Airlines Group</v>
      </c>
      <c r="H311" s="10">
        <v>1.3187E7</v>
      </c>
      <c r="I311" s="10">
        <v>1.252765E7</v>
      </c>
      <c r="J311" s="10">
        <f t="shared" si="2"/>
        <v>659350</v>
      </c>
      <c r="K311" s="11">
        <f t="shared" si="3"/>
        <v>0.05</v>
      </c>
      <c r="L311" s="3" t="str">
        <f t="shared" si="4"/>
        <v>Normal</v>
      </c>
      <c r="M311" s="10">
        <f t="shared" si="5"/>
        <v>-659350</v>
      </c>
      <c r="N311" s="3" t="str">
        <f t="shared" si="6"/>
        <v>Issued</v>
      </c>
      <c r="O311" s="3" t="str">
        <f t="shared" si="7"/>
        <v>PROFIT</v>
      </c>
      <c r="P311" s="3">
        <f t="shared" si="8"/>
        <v>1</v>
      </c>
      <c r="Q311" s="3">
        <f t="shared" si="9"/>
        <v>1</v>
      </c>
      <c r="R311" s="12">
        <f t="shared" si="10"/>
        <v>0</v>
      </c>
    </row>
    <row r="312">
      <c r="A312" s="3" t="s">
        <v>349</v>
      </c>
      <c r="B312" s="4">
        <v>46106.0</v>
      </c>
      <c r="C312" s="4" t="str">
        <f t="shared" si="1"/>
        <v>March</v>
      </c>
      <c r="D312" s="3" t="s">
        <v>23</v>
      </c>
      <c r="E312" s="3" t="s">
        <v>15</v>
      </c>
      <c r="F312" s="3" t="s">
        <v>31</v>
      </c>
      <c r="G312" s="3" t="str">
        <f>VLOOKUP(F312, 'KODE PESAWAT'!$A$2:$C$42, 3, FALSE)</f>
        <v>Garuda Indonesia Group</v>
      </c>
      <c r="H312" s="10">
        <v>1.0743E7</v>
      </c>
      <c r="I312" s="10">
        <v>2.68575E7</v>
      </c>
      <c r="J312" s="10">
        <f t="shared" si="2"/>
        <v>-16114500</v>
      </c>
      <c r="K312" s="11">
        <f t="shared" si="3"/>
        <v>-1.5</v>
      </c>
      <c r="L312" s="3" t="str">
        <f t="shared" si="4"/>
        <v>Over Buffer</v>
      </c>
      <c r="M312" s="10">
        <f t="shared" si="5"/>
        <v>-10743000</v>
      </c>
      <c r="N312" s="3" t="str">
        <f t="shared" si="6"/>
        <v>Refund</v>
      </c>
      <c r="O312" s="3" t="str">
        <f t="shared" si="7"/>
        <v>N/A</v>
      </c>
      <c r="P312" s="3">
        <f t="shared" si="8"/>
        <v>0</v>
      </c>
      <c r="Q312" s="3">
        <f t="shared" si="9"/>
        <v>0</v>
      </c>
      <c r="R312" s="12">
        <f t="shared" si="10"/>
        <v>1</v>
      </c>
    </row>
    <row r="313">
      <c r="A313" s="3" t="s">
        <v>350</v>
      </c>
      <c r="B313" s="4">
        <v>46026.0</v>
      </c>
      <c r="C313" s="4" t="str">
        <f t="shared" si="1"/>
        <v>January</v>
      </c>
      <c r="D313" s="3" t="s">
        <v>25</v>
      </c>
      <c r="E313" s="3" t="s">
        <v>15</v>
      </c>
      <c r="F313" s="3" t="s">
        <v>42</v>
      </c>
      <c r="G313" s="3" t="str">
        <f>VLOOKUP(F313, 'KODE PESAWAT'!$A$2:$C$42, 3, FALSE)</f>
        <v>Vietnam Airlines Group</v>
      </c>
      <c r="H313" s="10">
        <v>1014000.0</v>
      </c>
      <c r="I313" s="10">
        <v>1166100.0</v>
      </c>
      <c r="J313" s="10">
        <f t="shared" si="2"/>
        <v>-152100</v>
      </c>
      <c r="K313" s="11">
        <f t="shared" si="3"/>
        <v>-0.15</v>
      </c>
      <c r="L313" s="3" t="str">
        <f t="shared" si="4"/>
        <v>Fare Increase</v>
      </c>
      <c r="M313" s="10">
        <f t="shared" si="5"/>
        <v>152100</v>
      </c>
      <c r="N313" s="3" t="str">
        <f t="shared" si="6"/>
        <v>Issued</v>
      </c>
      <c r="O313" s="3" t="str">
        <f t="shared" si="7"/>
        <v>LOSS</v>
      </c>
      <c r="P313" s="3">
        <f t="shared" si="8"/>
        <v>1</v>
      </c>
      <c r="Q313" s="3">
        <f t="shared" si="9"/>
        <v>0</v>
      </c>
      <c r="R313" s="12">
        <f t="shared" si="10"/>
        <v>0</v>
      </c>
    </row>
    <row r="314">
      <c r="A314" s="3" t="s">
        <v>351</v>
      </c>
      <c r="B314" s="4">
        <v>46130.0</v>
      </c>
      <c r="C314" s="4" t="str">
        <f t="shared" si="1"/>
        <v>April</v>
      </c>
      <c r="D314" s="3" t="s">
        <v>18</v>
      </c>
      <c r="E314" s="3" t="s">
        <v>11</v>
      </c>
      <c r="F314" s="3" t="s">
        <v>63</v>
      </c>
      <c r="G314" s="3" t="str">
        <f>VLOOKUP(F314, 'KODE PESAWAT'!$A$2:$C$42, 3, FALSE)</f>
        <v>Lion Air Group</v>
      </c>
      <c r="H314" s="10">
        <v>697000.0</v>
      </c>
      <c r="I314" s="10">
        <v>662150.0</v>
      </c>
      <c r="J314" s="10">
        <f t="shared" si="2"/>
        <v>34850</v>
      </c>
      <c r="K314" s="11">
        <f t="shared" si="3"/>
        <v>0.05</v>
      </c>
      <c r="L314" s="3" t="str">
        <f t="shared" si="4"/>
        <v>Normal</v>
      </c>
      <c r="M314" s="10">
        <f t="shared" si="5"/>
        <v>-34850</v>
      </c>
      <c r="N314" s="3" t="str">
        <f t="shared" si="6"/>
        <v>Issued</v>
      </c>
      <c r="O314" s="3" t="str">
        <f t="shared" si="7"/>
        <v>PROFIT</v>
      </c>
      <c r="P314" s="3">
        <f t="shared" si="8"/>
        <v>1</v>
      </c>
      <c r="Q314" s="3">
        <f t="shared" si="9"/>
        <v>1</v>
      </c>
      <c r="R314" s="12">
        <f t="shared" si="10"/>
        <v>0</v>
      </c>
    </row>
    <row r="315">
      <c r="A315" s="3" t="s">
        <v>352</v>
      </c>
      <c r="B315" s="4">
        <v>46247.0</v>
      </c>
      <c r="C315" s="4" t="str">
        <f t="shared" si="1"/>
        <v>August</v>
      </c>
      <c r="D315" s="3" t="s">
        <v>25</v>
      </c>
      <c r="E315" s="3" t="s">
        <v>15</v>
      </c>
      <c r="F315" s="3" t="s">
        <v>26</v>
      </c>
      <c r="G315" s="3" t="str">
        <f>VLOOKUP(F315, 'KODE PESAWAT'!$A$2:$C$42, 3, FALSE)</f>
        <v>VietJet Group</v>
      </c>
      <c r="H315" s="10">
        <v>1.4512E7</v>
      </c>
      <c r="I315" s="10">
        <v>1.6688799999999998E7</v>
      </c>
      <c r="J315" s="10">
        <f t="shared" si="2"/>
        <v>-2176800</v>
      </c>
      <c r="K315" s="11">
        <f t="shared" si="3"/>
        <v>-0.15</v>
      </c>
      <c r="L315" s="3" t="str">
        <f t="shared" si="4"/>
        <v>Fare Increase</v>
      </c>
      <c r="M315" s="10">
        <f t="shared" si="5"/>
        <v>2176800</v>
      </c>
      <c r="N315" s="3" t="str">
        <f t="shared" si="6"/>
        <v>Issued</v>
      </c>
      <c r="O315" s="3" t="str">
        <f t="shared" si="7"/>
        <v>LOSS</v>
      </c>
      <c r="P315" s="3">
        <f t="shared" si="8"/>
        <v>1</v>
      </c>
      <c r="Q315" s="3">
        <f t="shared" si="9"/>
        <v>0</v>
      </c>
      <c r="R315" s="12">
        <f t="shared" si="10"/>
        <v>0</v>
      </c>
    </row>
    <row r="316">
      <c r="A316" s="3" t="s">
        <v>353</v>
      </c>
      <c r="B316" s="4">
        <v>46032.0</v>
      </c>
      <c r="C316" s="4" t="str">
        <f t="shared" si="1"/>
        <v>January</v>
      </c>
      <c r="D316" s="3" t="s">
        <v>10</v>
      </c>
      <c r="E316" s="3" t="s">
        <v>11</v>
      </c>
      <c r="F316" s="3" t="s">
        <v>21</v>
      </c>
      <c r="G316" s="3" t="str">
        <f>VLOOKUP(F316, 'KODE PESAWAT'!$A$2:$C$42, 3, FALSE)</f>
        <v>Singapore Airlines Group</v>
      </c>
      <c r="H316" s="10">
        <v>4184000.0</v>
      </c>
      <c r="I316" s="10">
        <v>1.046E7</v>
      </c>
      <c r="J316" s="10">
        <f t="shared" si="2"/>
        <v>-6276000</v>
      </c>
      <c r="K316" s="11">
        <f t="shared" si="3"/>
        <v>-1.5</v>
      </c>
      <c r="L316" s="3" t="str">
        <f t="shared" si="4"/>
        <v>Over Buffer</v>
      </c>
      <c r="M316" s="10">
        <f t="shared" si="5"/>
        <v>-4184000</v>
      </c>
      <c r="N316" s="3" t="str">
        <f t="shared" si="6"/>
        <v>Refund</v>
      </c>
      <c r="O316" s="3" t="str">
        <f t="shared" si="7"/>
        <v>N/A</v>
      </c>
      <c r="P316" s="3">
        <f t="shared" si="8"/>
        <v>0</v>
      </c>
      <c r="Q316" s="3">
        <f t="shared" si="9"/>
        <v>0</v>
      </c>
      <c r="R316" s="12">
        <f t="shared" si="10"/>
        <v>1</v>
      </c>
    </row>
    <row r="317">
      <c r="A317" s="3" t="s">
        <v>354</v>
      </c>
      <c r="B317" s="4">
        <v>46163.0</v>
      </c>
      <c r="C317" s="4" t="str">
        <f t="shared" si="1"/>
        <v>May</v>
      </c>
      <c r="D317" s="3" t="s">
        <v>10</v>
      </c>
      <c r="E317" s="3" t="s">
        <v>11</v>
      </c>
      <c r="F317" s="3" t="s">
        <v>12</v>
      </c>
      <c r="G317" s="3" t="str">
        <f>VLOOKUP(F317, 'KODE PESAWAT'!$A$2:$C$42, 3, FALSE)</f>
        <v>AirAsia Group</v>
      </c>
      <c r="H317" s="10">
        <v>1.4487E7</v>
      </c>
      <c r="I317" s="10">
        <v>1.376265E7</v>
      </c>
      <c r="J317" s="10">
        <f t="shared" si="2"/>
        <v>724350</v>
      </c>
      <c r="K317" s="11">
        <f t="shared" si="3"/>
        <v>0.05</v>
      </c>
      <c r="L317" s="3" t="str">
        <f t="shared" si="4"/>
        <v>Normal</v>
      </c>
      <c r="M317" s="10">
        <f t="shared" si="5"/>
        <v>-724350</v>
      </c>
      <c r="N317" s="3" t="str">
        <f t="shared" si="6"/>
        <v>Issued</v>
      </c>
      <c r="O317" s="3" t="str">
        <f t="shared" si="7"/>
        <v>PROFIT</v>
      </c>
      <c r="P317" s="3">
        <f t="shared" si="8"/>
        <v>1</v>
      </c>
      <c r="Q317" s="3">
        <f t="shared" si="9"/>
        <v>1</v>
      </c>
      <c r="R317" s="12">
        <f t="shared" si="10"/>
        <v>0</v>
      </c>
    </row>
    <row r="318">
      <c r="A318" s="3" t="s">
        <v>355</v>
      </c>
      <c r="B318" s="4">
        <v>46159.0</v>
      </c>
      <c r="C318" s="4" t="str">
        <f t="shared" si="1"/>
        <v>May</v>
      </c>
      <c r="D318" s="3" t="s">
        <v>30</v>
      </c>
      <c r="E318" s="3" t="s">
        <v>15</v>
      </c>
      <c r="F318" s="3" t="s">
        <v>42</v>
      </c>
      <c r="G318" s="3" t="str">
        <f>VLOOKUP(F318, 'KODE PESAWAT'!$A$2:$C$42, 3, FALSE)</f>
        <v>Vietnam Airlines Group</v>
      </c>
      <c r="H318" s="10">
        <v>2781000.0</v>
      </c>
      <c r="I318" s="10">
        <v>3893399.9999999995</v>
      </c>
      <c r="J318" s="10">
        <f t="shared" si="2"/>
        <v>-1112400</v>
      </c>
      <c r="K318" s="11">
        <f t="shared" si="3"/>
        <v>-0.4</v>
      </c>
      <c r="L318" s="3" t="str">
        <f t="shared" si="4"/>
        <v>Fare Increase</v>
      </c>
      <c r="M318" s="10">
        <f t="shared" si="5"/>
        <v>1112400</v>
      </c>
      <c r="N318" s="3" t="str">
        <f t="shared" si="6"/>
        <v>Issued</v>
      </c>
      <c r="O318" s="3" t="str">
        <f t="shared" si="7"/>
        <v>LOSS</v>
      </c>
      <c r="P318" s="3">
        <f t="shared" si="8"/>
        <v>1</v>
      </c>
      <c r="Q318" s="3">
        <f t="shared" si="9"/>
        <v>0</v>
      </c>
      <c r="R318" s="12">
        <f t="shared" si="10"/>
        <v>0</v>
      </c>
    </row>
    <row r="319">
      <c r="A319" s="3" t="s">
        <v>356</v>
      </c>
      <c r="B319" s="4">
        <v>46239.0</v>
      </c>
      <c r="C319" s="4" t="str">
        <f t="shared" si="1"/>
        <v>August</v>
      </c>
      <c r="D319" s="3" t="s">
        <v>30</v>
      </c>
      <c r="E319" s="3" t="s">
        <v>15</v>
      </c>
      <c r="F319" s="3" t="s">
        <v>78</v>
      </c>
      <c r="G319" s="3" t="str">
        <f>VLOOKUP(F319, 'KODE PESAWAT'!$A$2:$C$42, 3, FALSE)</f>
        <v>Virgin Australia Group</v>
      </c>
      <c r="H319" s="10">
        <v>652000.0</v>
      </c>
      <c r="I319" s="10">
        <v>619400.0</v>
      </c>
      <c r="J319" s="10">
        <f t="shared" si="2"/>
        <v>32600</v>
      </c>
      <c r="K319" s="11">
        <f t="shared" si="3"/>
        <v>0.05</v>
      </c>
      <c r="L319" s="3" t="str">
        <f t="shared" si="4"/>
        <v>Normal</v>
      </c>
      <c r="M319" s="10">
        <f t="shared" si="5"/>
        <v>-32600</v>
      </c>
      <c r="N319" s="3" t="str">
        <f t="shared" si="6"/>
        <v>Issued</v>
      </c>
      <c r="O319" s="3" t="str">
        <f t="shared" si="7"/>
        <v>PROFIT</v>
      </c>
      <c r="P319" s="3">
        <f t="shared" si="8"/>
        <v>1</v>
      </c>
      <c r="Q319" s="3">
        <f t="shared" si="9"/>
        <v>1</v>
      </c>
      <c r="R319" s="12">
        <f t="shared" si="10"/>
        <v>0</v>
      </c>
    </row>
    <row r="320">
      <c r="A320" s="3" t="s">
        <v>357</v>
      </c>
      <c r="B320" s="4">
        <v>46119.0</v>
      </c>
      <c r="C320" s="4" t="str">
        <f t="shared" si="1"/>
        <v>April</v>
      </c>
      <c r="D320" s="3" t="s">
        <v>23</v>
      </c>
      <c r="E320" s="3" t="s">
        <v>15</v>
      </c>
      <c r="F320" s="3" t="s">
        <v>31</v>
      </c>
      <c r="G320" s="3" t="str">
        <f>VLOOKUP(F320, 'KODE PESAWAT'!$A$2:$C$42, 3, FALSE)</f>
        <v>Garuda Indonesia Group</v>
      </c>
      <c r="H320" s="10">
        <v>1315000.0</v>
      </c>
      <c r="I320" s="10">
        <v>1840999.9999999998</v>
      </c>
      <c r="J320" s="10">
        <f t="shared" si="2"/>
        <v>-526000</v>
      </c>
      <c r="K320" s="11">
        <f t="shared" si="3"/>
        <v>-0.4</v>
      </c>
      <c r="L320" s="3" t="str">
        <f t="shared" si="4"/>
        <v>Fare Increase</v>
      </c>
      <c r="M320" s="10">
        <f t="shared" si="5"/>
        <v>526000</v>
      </c>
      <c r="N320" s="3" t="str">
        <f t="shared" si="6"/>
        <v>Issued</v>
      </c>
      <c r="O320" s="3" t="str">
        <f t="shared" si="7"/>
        <v>LOSS</v>
      </c>
      <c r="P320" s="3">
        <f t="shared" si="8"/>
        <v>1</v>
      </c>
      <c r="Q320" s="3">
        <f t="shared" si="9"/>
        <v>0</v>
      </c>
      <c r="R320" s="12">
        <f t="shared" si="10"/>
        <v>0</v>
      </c>
    </row>
    <row r="321">
      <c r="A321" s="3" t="s">
        <v>358</v>
      </c>
      <c r="B321" s="4">
        <v>46329.0</v>
      </c>
      <c r="C321" s="4" t="str">
        <f t="shared" si="1"/>
        <v>November</v>
      </c>
      <c r="D321" s="3" t="s">
        <v>14</v>
      </c>
      <c r="E321" s="3" t="s">
        <v>15</v>
      </c>
      <c r="F321" s="3" t="s">
        <v>37</v>
      </c>
      <c r="G321" s="3" t="str">
        <f>VLOOKUP(F321, 'KODE PESAWAT'!$A$2:$C$42, 3, FALSE)</f>
        <v>Lion Air Group</v>
      </c>
      <c r="H321" s="10">
        <v>1423000.0</v>
      </c>
      <c r="I321" s="10">
        <v>3557500.0</v>
      </c>
      <c r="J321" s="10">
        <f t="shared" si="2"/>
        <v>-2134500</v>
      </c>
      <c r="K321" s="11">
        <f t="shared" si="3"/>
        <v>-1.5</v>
      </c>
      <c r="L321" s="3" t="str">
        <f t="shared" si="4"/>
        <v>Over Buffer</v>
      </c>
      <c r="M321" s="10">
        <f t="shared" si="5"/>
        <v>-1423000</v>
      </c>
      <c r="N321" s="3" t="str">
        <f t="shared" si="6"/>
        <v>Refund</v>
      </c>
      <c r="O321" s="3" t="str">
        <f t="shared" si="7"/>
        <v>N/A</v>
      </c>
      <c r="P321" s="3">
        <f t="shared" si="8"/>
        <v>0</v>
      </c>
      <c r="Q321" s="3">
        <f t="shared" si="9"/>
        <v>0</v>
      </c>
      <c r="R321" s="12">
        <f t="shared" si="10"/>
        <v>1</v>
      </c>
    </row>
    <row r="322">
      <c r="A322" s="3" t="s">
        <v>359</v>
      </c>
      <c r="B322" s="4">
        <v>46322.0</v>
      </c>
      <c r="C322" s="4" t="str">
        <f t="shared" si="1"/>
        <v>October</v>
      </c>
      <c r="D322" s="3" t="s">
        <v>23</v>
      </c>
      <c r="E322" s="3" t="s">
        <v>15</v>
      </c>
      <c r="F322" s="3" t="s">
        <v>31</v>
      </c>
      <c r="G322" s="3" t="str">
        <f>VLOOKUP(F322, 'KODE PESAWAT'!$A$2:$C$42, 3, FALSE)</f>
        <v>Garuda Indonesia Group</v>
      </c>
      <c r="H322" s="10">
        <v>6986000.0</v>
      </c>
      <c r="I322" s="10">
        <v>1.7465E7</v>
      </c>
      <c r="J322" s="10">
        <f t="shared" si="2"/>
        <v>-10479000</v>
      </c>
      <c r="K322" s="11">
        <f t="shared" si="3"/>
        <v>-1.5</v>
      </c>
      <c r="L322" s="3" t="str">
        <f t="shared" si="4"/>
        <v>Over Buffer</v>
      </c>
      <c r="M322" s="10">
        <f t="shared" si="5"/>
        <v>-6986000</v>
      </c>
      <c r="N322" s="3" t="str">
        <f t="shared" si="6"/>
        <v>Refund</v>
      </c>
      <c r="O322" s="3" t="str">
        <f t="shared" si="7"/>
        <v>N/A</v>
      </c>
      <c r="P322" s="3">
        <f t="shared" si="8"/>
        <v>0</v>
      </c>
      <c r="Q322" s="3">
        <f t="shared" si="9"/>
        <v>0</v>
      </c>
      <c r="R322" s="12">
        <f t="shared" si="10"/>
        <v>1</v>
      </c>
    </row>
    <row r="323">
      <c r="A323" s="3" t="s">
        <v>360</v>
      </c>
      <c r="B323" s="4">
        <v>46270.0</v>
      </c>
      <c r="C323" s="4" t="str">
        <f t="shared" si="1"/>
        <v>September</v>
      </c>
      <c r="D323" s="3" t="s">
        <v>30</v>
      </c>
      <c r="E323" s="3" t="s">
        <v>15</v>
      </c>
      <c r="F323" s="3" t="s">
        <v>49</v>
      </c>
      <c r="G323" s="3" t="str">
        <f>VLOOKUP(F323, 'KODE PESAWAT'!$A$2:$C$42, 3, FALSE)</f>
        <v>AirAsia Group</v>
      </c>
      <c r="H323" s="10">
        <v>1113000.0</v>
      </c>
      <c r="I323" s="10">
        <v>1057350.0</v>
      </c>
      <c r="J323" s="10">
        <f t="shared" si="2"/>
        <v>55650</v>
      </c>
      <c r="K323" s="11">
        <f t="shared" si="3"/>
        <v>0.05</v>
      </c>
      <c r="L323" s="3" t="str">
        <f t="shared" si="4"/>
        <v>Normal</v>
      </c>
      <c r="M323" s="10">
        <f t="shared" si="5"/>
        <v>-55650</v>
      </c>
      <c r="N323" s="3" t="str">
        <f t="shared" si="6"/>
        <v>Issued</v>
      </c>
      <c r="O323" s="3" t="str">
        <f t="shared" si="7"/>
        <v>PROFIT</v>
      </c>
      <c r="P323" s="3">
        <f t="shared" si="8"/>
        <v>1</v>
      </c>
      <c r="Q323" s="3">
        <f t="shared" si="9"/>
        <v>1</v>
      </c>
      <c r="R323" s="12">
        <f t="shared" si="10"/>
        <v>0</v>
      </c>
    </row>
    <row r="324">
      <c r="A324" s="3" t="s">
        <v>361</v>
      </c>
      <c r="B324" s="4">
        <v>46321.0</v>
      </c>
      <c r="C324" s="4" t="str">
        <f t="shared" si="1"/>
        <v>October</v>
      </c>
      <c r="D324" s="3" t="s">
        <v>10</v>
      </c>
      <c r="E324" s="3" t="s">
        <v>11</v>
      </c>
      <c r="F324" s="3" t="s">
        <v>21</v>
      </c>
      <c r="G324" s="3" t="str">
        <f>VLOOKUP(F324, 'KODE PESAWAT'!$A$2:$C$42, 3, FALSE)</f>
        <v>Singapore Airlines Group</v>
      </c>
      <c r="H324" s="10">
        <v>1565000.0</v>
      </c>
      <c r="I324" s="10">
        <v>2191000.0</v>
      </c>
      <c r="J324" s="10">
        <f t="shared" si="2"/>
        <v>-626000</v>
      </c>
      <c r="K324" s="11">
        <f t="shared" si="3"/>
        <v>-0.4</v>
      </c>
      <c r="L324" s="3" t="str">
        <f t="shared" si="4"/>
        <v>Fare Increase</v>
      </c>
      <c r="M324" s="10">
        <f t="shared" si="5"/>
        <v>626000</v>
      </c>
      <c r="N324" s="3" t="str">
        <f t="shared" si="6"/>
        <v>Issued</v>
      </c>
      <c r="O324" s="3" t="str">
        <f t="shared" si="7"/>
        <v>LOSS</v>
      </c>
      <c r="P324" s="3">
        <f t="shared" si="8"/>
        <v>1</v>
      </c>
      <c r="Q324" s="3">
        <f t="shared" si="9"/>
        <v>0</v>
      </c>
      <c r="R324" s="12">
        <f t="shared" si="10"/>
        <v>0</v>
      </c>
    </row>
    <row r="325">
      <c r="A325" s="3" t="s">
        <v>362</v>
      </c>
      <c r="B325" s="4">
        <v>46165.0</v>
      </c>
      <c r="C325" s="4" t="str">
        <f t="shared" si="1"/>
        <v>May</v>
      </c>
      <c r="D325" s="3" t="s">
        <v>18</v>
      </c>
      <c r="E325" s="3" t="s">
        <v>11</v>
      </c>
      <c r="F325" s="3" t="s">
        <v>35</v>
      </c>
      <c r="G325" s="3" t="str">
        <f>VLOOKUP(F325, 'KODE PESAWAT'!$A$2:$C$42, 3, FALSE)</f>
        <v>Lion Air Group</v>
      </c>
      <c r="H325" s="10">
        <v>930000.0</v>
      </c>
      <c r="I325" s="10">
        <v>1069500.0</v>
      </c>
      <c r="J325" s="10">
        <f t="shared" si="2"/>
        <v>-139500</v>
      </c>
      <c r="K325" s="11">
        <f t="shared" si="3"/>
        <v>-0.15</v>
      </c>
      <c r="L325" s="3" t="str">
        <f t="shared" si="4"/>
        <v>Fare Increase</v>
      </c>
      <c r="M325" s="10">
        <f t="shared" si="5"/>
        <v>139500</v>
      </c>
      <c r="N325" s="3" t="str">
        <f t="shared" si="6"/>
        <v>Issued</v>
      </c>
      <c r="O325" s="3" t="str">
        <f t="shared" si="7"/>
        <v>LOSS</v>
      </c>
      <c r="P325" s="3">
        <f t="shared" si="8"/>
        <v>1</v>
      </c>
      <c r="Q325" s="3">
        <f t="shared" si="9"/>
        <v>0</v>
      </c>
      <c r="R325" s="12">
        <f t="shared" si="10"/>
        <v>0</v>
      </c>
    </row>
    <row r="326">
      <c r="A326" s="3" t="s">
        <v>363</v>
      </c>
      <c r="B326" s="4">
        <v>46293.0</v>
      </c>
      <c r="C326" s="4" t="str">
        <f t="shared" si="1"/>
        <v>September</v>
      </c>
      <c r="D326" s="3" t="s">
        <v>18</v>
      </c>
      <c r="E326" s="3" t="s">
        <v>11</v>
      </c>
      <c r="F326" s="3" t="s">
        <v>12</v>
      </c>
      <c r="G326" s="3" t="str">
        <f>VLOOKUP(F326, 'KODE PESAWAT'!$A$2:$C$42, 3, FALSE)</f>
        <v>AirAsia Group</v>
      </c>
      <c r="H326" s="10">
        <v>1487000.0</v>
      </c>
      <c r="I326" s="10">
        <v>2081799.9999999998</v>
      </c>
      <c r="J326" s="10">
        <f t="shared" si="2"/>
        <v>-594800</v>
      </c>
      <c r="K326" s="11">
        <f t="shared" si="3"/>
        <v>-0.4</v>
      </c>
      <c r="L326" s="3" t="str">
        <f t="shared" si="4"/>
        <v>Fare Increase</v>
      </c>
      <c r="M326" s="10">
        <f t="shared" si="5"/>
        <v>594800</v>
      </c>
      <c r="N326" s="3" t="str">
        <f t="shared" si="6"/>
        <v>Issued</v>
      </c>
      <c r="O326" s="3" t="str">
        <f t="shared" si="7"/>
        <v>LOSS</v>
      </c>
      <c r="P326" s="3">
        <f t="shared" si="8"/>
        <v>1</v>
      </c>
      <c r="Q326" s="3">
        <f t="shared" si="9"/>
        <v>0</v>
      </c>
      <c r="R326" s="12">
        <f t="shared" si="10"/>
        <v>0</v>
      </c>
    </row>
    <row r="327">
      <c r="A327" s="3" t="s">
        <v>364</v>
      </c>
      <c r="B327" s="4">
        <v>46043.0</v>
      </c>
      <c r="C327" s="4" t="str">
        <f t="shared" si="1"/>
        <v>January</v>
      </c>
      <c r="D327" s="3" t="s">
        <v>18</v>
      </c>
      <c r="E327" s="3" t="s">
        <v>11</v>
      </c>
      <c r="F327" s="3" t="s">
        <v>21</v>
      </c>
      <c r="G327" s="3" t="str">
        <f>VLOOKUP(F327, 'KODE PESAWAT'!$A$2:$C$42, 3, FALSE)</f>
        <v>Singapore Airlines Group</v>
      </c>
      <c r="H327" s="10">
        <v>4655000.0</v>
      </c>
      <c r="I327" s="10">
        <v>5353250.0</v>
      </c>
      <c r="J327" s="10">
        <f t="shared" si="2"/>
        <v>-698250</v>
      </c>
      <c r="K327" s="11">
        <f t="shared" si="3"/>
        <v>-0.15</v>
      </c>
      <c r="L327" s="3" t="str">
        <f t="shared" si="4"/>
        <v>Fare Increase</v>
      </c>
      <c r="M327" s="10">
        <f t="shared" si="5"/>
        <v>698250</v>
      </c>
      <c r="N327" s="3" t="str">
        <f t="shared" si="6"/>
        <v>Issued</v>
      </c>
      <c r="O327" s="3" t="str">
        <f t="shared" si="7"/>
        <v>LOSS</v>
      </c>
      <c r="P327" s="3">
        <f t="shared" si="8"/>
        <v>1</v>
      </c>
      <c r="Q327" s="3">
        <f t="shared" si="9"/>
        <v>0</v>
      </c>
      <c r="R327" s="12">
        <f t="shared" si="10"/>
        <v>0</v>
      </c>
    </row>
    <row r="328">
      <c r="A328" s="3" t="s">
        <v>365</v>
      </c>
      <c r="B328" s="4">
        <v>46159.0</v>
      </c>
      <c r="C328" s="4" t="str">
        <f t="shared" si="1"/>
        <v>May</v>
      </c>
      <c r="D328" s="3" t="s">
        <v>18</v>
      </c>
      <c r="E328" s="3" t="s">
        <v>11</v>
      </c>
      <c r="F328" s="3" t="s">
        <v>21</v>
      </c>
      <c r="G328" s="3" t="str">
        <f>VLOOKUP(F328, 'KODE PESAWAT'!$A$2:$C$42, 3, FALSE)</f>
        <v>Singapore Airlines Group</v>
      </c>
      <c r="H328" s="10">
        <v>1.0947E7</v>
      </c>
      <c r="I328" s="10">
        <v>2.73675E7</v>
      </c>
      <c r="J328" s="10">
        <f t="shared" si="2"/>
        <v>-16420500</v>
      </c>
      <c r="K328" s="11">
        <f t="shared" si="3"/>
        <v>-1.5</v>
      </c>
      <c r="L328" s="3" t="str">
        <f t="shared" si="4"/>
        <v>Over Buffer</v>
      </c>
      <c r="M328" s="10">
        <f t="shared" si="5"/>
        <v>-10947000</v>
      </c>
      <c r="N328" s="3" t="str">
        <f t="shared" si="6"/>
        <v>Refund</v>
      </c>
      <c r="O328" s="3" t="str">
        <f t="shared" si="7"/>
        <v>N/A</v>
      </c>
      <c r="P328" s="3">
        <f t="shared" si="8"/>
        <v>0</v>
      </c>
      <c r="Q328" s="3">
        <f t="shared" si="9"/>
        <v>0</v>
      </c>
      <c r="R328" s="12">
        <f t="shared" si="10"/>
        <v>1</v>
      </c>
    </row>
    <row r="329">
      <c r="A329" s="3" t="s">
        <v>366</v>
      </c>
      <c r="B329" s="4">
        <v>46116.0</v>
      </c>
      <c r="C329" s="4" t="str">
        <f t="shared" si="1"/>
        <v>April</v>
      </c>
      <c r="D329" s="3" t="s">
        <v>30</v>
      </c>
      <c r="E329" s="3" t="s">
        <v>15</v>
      </c>
      <c r="F329" s="3" t="s">
        <v>232</v>
      </c>
      <c r="G329" s="3" t="str">
        <f>VLOOKUP(F329, 'KODE PESAWAT'!$A$2:$C$42, 3, FALSE)</f>
        <v>Sriwijaya Air Group</v>
      </c>
      <c r="H329" s="10">
        <v>1620000.0</v>
      </c>
      <c r="I329" s="10">
        <v>1539000.0</v>
      </c>
      <c r="J329" s="10">
        <f t="shared" si="2"/>
        <v>81000</v>
      </c>
      <c r="K329" s="11">
        <f t="shared" si="3"/>
        <v>0.05</v>
      </c>
      <c r="L329" s="3" t="str">
        <f t="shared" si="4"/>
        <v>Normal</v>
      </c>
      <c r="M329" s="10">
        <f t="shared" si="5"/>
        <v>-81000</v>
      </c>
      <c r="N329" s="3" t="str">
        <f t="shared" si="6"/>
        <v>Issued</v>
      </c>
      <c r="O329" s="3" t="str">
        <f t="shared" si="7"/>
        <v>PROFIT</v>
      </c>
      <c r="P329" s="3">
        <f t="shared" si="8"/>
        <v>1</v>
      </c>
      <c r="Q329" s="3">
        <f t="shared" si="9"/>
        <v>1</v>
      </c>
      <c r="R329" s="12">
        <f t="shared" si="10"/>
        <v>0</v>
      </c>
    </row>
    <row r="330">
      <c r="A330" s="3" t="s">
        <v>367</v>
      </c>
      <c r="B330" s="4">
        <v>46311.0</v>
      </c>
      <c r="C330" s="4" t="str">
        <f t="shared" si="1"/>
        <v>October</v>
      </c>
      <c r="D330" s="3" t="s">
        <v>10</v>
      </c>
      <c r="E330" s="3" t="s">
        <v>11</v>
      </c>
      <c r="F330" s="3" t="s">
        <v>63</v>
      </c>
      <c r="G330" s="3" t="str">
        <f>VLOOKUP(F330, 'KODE PESAWAT'!$A$2:$C$42, 3, FALSE)</f>
        <v>Lion Air Group</v>
      </c>
      <c r="H330" s="10">
        <v>3844000.0</v>
      </c>
      <c r="I330" s="10">
        <v>9610000.0</v>
      </c>
      <c r="J330" s="10">
        <f t="shared" si="2"/>
        <v>-5766000</v>
      </c>
      <c r="K330" s="11">
        <f t="shared" si="3"/>
        <v>-1.5</v>
      </c>
      <c r="L330" s="3" t="str">
        <f t="shared" si="4"/>
        <v>Over Buffer</v>
      </c>
      <c r="M330" s="10">
        <f t="shared" si="5"/>
        <v>-3844000</v>
      </c>
      <c r="N330" s="3" t="str">
        <f t="shared" si="6"/>
        <v>Refund</v>
      </c>
      <c r="O330" s="3" t="str">
        <f t="shared" si="7"/>
        <v>N/A</v>
      </c>
      <c r="P330" s="3">
        <f t="shared" si="8"/>
        <v>0</v>
      </c>
      <c r="Q330" s="3">
        <f t="shared" si="9"/>
        <v>0</v>
      </c>
      <c r="R330" s="12">
        <f t="shared" si="10"/>
        <v>1</v>
      </c>
    </row>
    <row r="331">
      <c r="A331" s="3" t="s">
        <v>368</v>
      </c>
      <c r="B331" s="4">
        <v>46235.0</v>
      </c>
      <c r="C331" s="4" t="str">
        <f t="shared" si="1"/>
        <v>August</v>
      </c>
      <c r="D331" s="3" t="s">
        <v>30</v>
      </c>
      <c r="E331" s="3" t="s">
        <v>15</v>
      </c>
      <c r="F331" s="3" t="s">
        <v>63</v>
      </c>
      <c r="G331" s="3" t="str">
        <f>VLOOKUP(F331, 'KODE PESAWAT'!$A$2:$C$42, 3, FALSE)</f>
        <v>Lion Air Group</v>
      </c>
      <c r="H331" s="10">
        <v>1.0481E7</v>
      </c>
      <c r="I331" s="10">
        <v>2.62025E7</v>
      </c>
      <c r="J331" s="10">
        <f t="shared" si="2"/>
        <v>-15721500</v>
      </c>
      <c r="K331" s="11">
        <f t="shared" si="3"/>
        <v>-1.5</v>
      </c>
      <c r="L331" s="3" t="str">
        <f t="shared" si="4"/>
        <v>Over Buffer</v>
      </c>
      <c r="M331" s="10">
        <f t="shared" si="5"/>
        <v>-10481000</v>
      </c>
      <c r="N331" s="3" t="str">
        <f t="shared" si="6"/>
        <v>Refund</v>
      </c>
      <c r="O331" s="3" t="str">
        <f t="shared" si="7"/>
        <v>N/A</v>
      </c>
      <c r="P331" s="3">
        <f t="shared" si="8"/>
        <v>0</v>
      </c>
      <c r="Q331" s="3">
        <f t="shared" si="9"/>
        <v>0</v>
      </c>
      <c r="R331" s="12">
        <f t="shared" si="10"/>
        <v>1</v>
      </c>
    </row>
    <row r="332">
      <c r="A332" s="3" t="s">
        <v>369</v>
      </c>
      <c r="B332" s="4">
        <v>46034.0</v>
      </c>
      <c r="C332" s="4" t="str">
        <f t="shared" si="1"/>
        <v>January</v>
      </c>
      <c r="D332" s="3" t="s">
        <v>10</v>
      </c>
      <c r="E332" s="3" t="s">
        <v>11</v>
      </c>
      <c r="F332" s="3" t="s">
        <v>35</v>
      </c>
      <c r="G332" s="3" t="str">
        <f>VLOOKUP(F332, 'KODE PESAWAT'!$A$2:$C$42, 3, FALSE)</f>
        <v>Lion Air Group</v>
      </c>
      <c r="H332" s="10">
        <v>603000.0</v>
      </c>
      <c r="I332" s="10">
        <v>693450.0</v>
      </c>
      <c r="J332" s="10">
        <f t="shared" si="2"/>
        <v>-90450</v>
      </c>
      <c r="K332" s="11">
        <f t="shared" si="3"/>
        <v>-0.15</v>
      </c>
      <c r="L332" s="3" t="str">
        <f t="shared" si="4"/>
        <v>Fare Increase</v>
      </c>
      <c r="M332" s="10">
        <f t="shared" si="5"/>
        <v>90450</v>
      </c>
      <c r="N332" s="3" t="str">
        <f t="shared" si="6"/>
        <v>Issued</v>
      </c>
      <c r="O332" s="3" t="str">
        <f t="shared" si="7"/>
        <v>LOSS</v>
      </c>
      <c r="P332" s="3">
        <f t="shared" si="8"/>
        <v>1</v>
      </c>
      <c r="Q332" s="3">
        <f t="shared" si="9"/>
        <v>0</v>
      </c>
      <c r="R332" s="12">
        <f t="shared" si="10"/>
        <v>0</v>
      </c>
    </row>
    <row r="333">
      <c r="A333" s="3" t="s">
        <v>370</v>
      </c>
      <c r="B333" s="4">
        <v>46093.0</v>
      </c>
      <c r="C333" s="4" t="str">
        <f t="shared" si="1"/>
        <v>March</v>
      </c>
      <c r="D333" s="3" t="s">
        <v>23</v>
      </c>
      <c r="E333" s="3" t="s">
        <v>15</v>
      </c>
      <c r="F333" s="3" t="s">
        <v>19</v>
      </c>
      <c r="G333" s="3" t="str">
        <f>VLOOKUP(F333, 'KODE PESAWAT'!$A$2:$C$42, 3, FALSE)</f>
        <v>Lion Air Group</v>
      </c>
      <c r="H333" s="10">
        <v>1777000.0</v>
      </c>
      <c r="I333" s="10">
        <v>2043549.9999999998</v>
      </c>
      <c r="J333" s="10">
        <f t="shared" si="2"/>
        <v>-266550</v>
      </c>
      <c r="K333" s="11">
        <f t="shared" si="3"/>
        <v>-0.15</v>
      </c>
      <c r="L333" s="3" t="str">
        <f t="shared" si="4"/>
        <v>Fare Increase</v>
      </c>
      <c r="M333" s="10">
        <f t="shared" si="5"/>
        <v>266550</v>
      </c>
      <c r="N333" s="3" t="str">
        <f t="shared" si="6"/>
        <v>Issued</v>
      </c>
      <c r="O333" s="3" t="str">
        <f t="shared" si="7"/>
        <v>LOSS</v>
      </c>
      <c r="P333" s="3">
        <f t="shared" si="8"/>
        <v>1</v>
      </c>
      <c r="Q333" s="3">
        <f t="shared" si="9"/>
        <v>0</v>
      </c>
      <c r="R333" s="12">
        <f t="shared" si="10"/>
        <v>0</v>
      </c>
    </row>
    <row r="334">
      <c r="A334" s="3" t="s">
        <v>371</v>
      </c>
      <c r="B334" s="4">
        <v>46206.0</v>
      </c>
      <c r="C334" s="4" t="str">
        <f t="shared" si="1"/>
        <v>July</v>
      </c>
      <c r="D334" s="3" t="s">
        <v>18</v>
      </c>
      <c r="E334" s="3" t="s">
        <v>11</v>
      </c>
      <c r="F334" s="3" t="s">
        <v>12</v>
      </c>
      <c r="G334" s="3" t="str">
        <f>VLOOKUP(F334, 'KODE PESAWAT'!$A$2:$C$42, 3, FALSE)</f>
        <v>AirAsia Group</v>
      </c>
      <c r="H334" s="10">
        <v>1379000.0</v>
      </c>
      <c r="I334" s="10">
        <v>1930599.9999999998</v>
      </c>
      <c r="J334" s="10">
        <f t="shared" si="2"/>
        <v>-551600</v>
      </c>
      <c r="K334" s="11">
        <f t="shared" si="3"/>
        <v>-0.4</v>
      </c>
      <c r="L334" s="3" t="str">
        <f t="shared" si="4"/>
        <v>Fare Increase</v>
      </c>
      <c r="M334" s="10">
        <f t="shared" si="5"/>
        <v>551600</v>
      </c>
      <c r="N334" s="3" t="str">
        <f t="shared" si="6"/>
        <v>Issued</v>
      </c>
      <c r="O334" s="3" t="str">
        <f t="shared" si="7"/>
        <v>LOSS</v>
      </c>
      <c r="P334" s="3">
        <f t="shared" si="8"/>
        <v>1</v>
      </c>
      <c r="Q334" s="3">
        <f t="shared" si="9"/>
        <v>0</v>
      </c>
      <c r="R334" s="12">
        <f t="shared" si="10"/>
        <v>0</v>
      </c>
    </row>
    <row r="335">
      <c r="A335" s="3" t="s">
        <v>372</v>
      </c>
      <c r="B335" s="4">
        <v>46336.0</v>
      </c>
      <c r="C335" s="4" t="str">
        <f t="shared" si="1"/>
        <v>November</v>
      </c>
      <c r="D335" s="3" t="s">
        <v>18</v>
      </c>
      <c r="E335" s="3" t="s">
        <v>11</v>
      </c>
      <c r="F335" s="3" t="s">
        <v>19</v>
      </c>
      <c r="G335" s="3" t="str">
        <f>VLOOKUP(F335, 'KODE PESAWAT'!$A$2:$C$42, 3, FALSE)</f>
        <v>Lion Air Group</v>
      </c>
      <c r="H335" s="10">
        <v>2158000.0</v>
      </c>
      <c r="I335" s="10">
        <v>3021200.0</v>
      </c>
      <c r="J335" s="10">
        <f t="shared" si="2"/>
        <v>-863200</v>
      </c>
      <c r="K335" s="11">
        <f t="shared" si="3"/>
        <v>-0.4</v>
      </c>
      <c r="L335" s="3" t="str">
        <f t="shared" si="4"/>
        <v>Fare Increase</v>
      </c>
      <c r="M335" s="10">
        <f t="shared" si="5"/>
        <v>863200</v>
      </c>
      <c r="N335" s="3" t="str">
        <f t="shared" si="6"/>
        <v>Issued</v>
      </c>
      <c r="O335" s="3" t="str">
        <f t="shared" si="7"/>
        <v>LOSS</v>
      </c>
      <c r="P335" s="3">
        <f t="shared" si="8"/>
        <v>1</v>
      </c>
      <c r="Q335" s="3">
        <f t="shared" si="9"/>
        <v>0</v>
      </c>
      <c r="R335" s="12">
        <f t="shared" si="10"/>
        <v>0</v>
      </c>
    </row>
    <row r="336">
      <c r="A336" s="3" t="s">
        <v>373</v>
      </c>
      <c r="B336" s="4">
        <v>46122.0</v>
      </c>
      <c r="C336" s="4" t="str">
        <f t="shared" si="1"/>
        <v>April</v>
      </c>
      <c r="D336" s="3" t="s">
        <v>30</v>
      </c>
      <c r="E336" s="3" t="s">
        <v>15</v>
      </c>
      <c r="F336" s="3" t="s">
        <v>21</v>
      </c>
      <c r="G336" s="3" t="str">
        <f>VLOOKUP(F336, 'KODE PESAWAT'!$A$2:$C$42, 3, FALSE)</f>
        <v>Singapore Airlines Group</v>
      </c>
      <c r="H336" s="10">
        <v>959000.0</v>
      </c>
      <c r="I336" s="10">
        <v>1102850.0</v>
      </c>
      <c r="J336" s="10">
        <f t="shared" si="2"/>
        <v>-143850</v>
      </c>
      <c r="K336" s="11">
        <f t="shared" si="3"/>
        <v>-0.15</v>
      </c>
      <c r="L336" s="3" t="str">
        <f t="shared" si="4"/>
        <v>Fare Increase</v>
      </c>
      <c r="M336" s="10">
        <f t="shared" si="5"/>
        <v>143850</v>
      </c>
      <c r="N336" s="3" t="str">
        <f t="shared" si="6"/>
        <v>Issued</v>
      </c>
      <c r="O336" s="3" t="str">
        <f t="shared" si="7"/>
        <v>LOSS</v>
      </c>
      <c r="P336" s="3">
        <f t="shared" si="8"/>
        <v>1</v>
      </c>
      <c r="Q336" s="3">
        <f t="shared" si="9"/>
        <v>0</v>
      </c>
      <c r="R336" s="12">
        <f t="shared" si="10"/>
        <v>0</v>
      </c>
    </row>
    <row r="337">
      <c r="A337" s="3" t="s">
        <v>374</v>
      </c>
      <c r="B337" s="4">
        <v>46221.0</v>
      </c>
      <c r="C337" s="4" t="str">
        <f t="shared" si="1"/>
        <v>July</v>
      </c>
      <c r="D337" s="3" t="s">
        <v>18</v>
      </c>
      <c r="E337" s="3" t="s">
        <v>11</v>
      </c>
      <c r="F337" s="3" t="s">
        <v>19</v>
      </c>
      <c r="G337" s="3" t="str">
        <f>VLOOKUP(F337, 'KODE PESAWAT'!$A$2:$C$42, 3, FALSE)</f>
        <v>Lion Air Group</v>
      </c>
      <c r="H337" s="10">
        <v>6891000.0</v>
      </c>
      <c r="I337" s="10">
        <v>1.72275E7</v>
      </c>
      <c r="J337" s="10">
        <f t="shared" si="2"/>
        <v>-10336500</v>
      </c>
      <c r="K337" s="11">
        <f t="shared" si="3"/>
        <v>-1.5</v>
      </c>
      <c r="L337" s="3" t="str">
        <f t="shared" si="4"/>
        <v>Over Buffer</v>
      </c>
      <c r="M337" s="10">
        <f t="shared" si="5"/>
        <v>-6891000</v>
      </c>
      <c r="N337" s="3" t="str">
        <f t="shared" si="6"/>
        <v>Refund</v>
      </c>
      <c r="O337" s="3" t="str">
        <f t="shared" si="7"/>
        <v>N/A</v>
      </c>
      <c r="P337" s="3">
        <f t="shared" si="8"/>
        <v>0</v>
      </c>
      <c r="Q337" s="3">
        <f t="shared" si="9"/>
        <v>0</v>
      </c>
      <c r="R337" s="12">
        <f t="shared" si="10"/>
        <v>1</v>
      </c>
    </row>
    <row r="338">
      <c r="A338" s="3" t="s">
        <v>375</v>
      </c>
      <c r="B338" s="4">
        <v>46383.0</v>
      </c>
      <c r="C338" s="4" t="str">
        <f t="shared" si="1"/>
        <v>December</v>
      </c>
      <c r="D338" s="3" t="s">
        <v>18</v>
      </c>
      <c r="E338" s="3" t="s">
        <v>11</v>
      </c>
      <c r="F338" s="3" t="s">
        <v>19</v>
      </c>
      <c r="G338" s="3" t="str">
        <f>VLOOKUP(F338, 'KODE PESAWAT'!$A$2:$C$42, 3, FALSE)</f>
        <v>Lion Air Group</v>
      </c>
      <c r="H338" s="10">
        <v>821000.0</v>
      </c>
      <c r="I338" s="10">
        <v>1149400.0</v>
      </c>
      <c r="J338" s="10">
        <f t="shared" si="2"/>
        <v>-328400</v>
      </c>
      <c r="K338" s="11">
        <f t="shared" si="3"/>
        <v>-0.4</v>
      </c>
      <c r="L338" s="3" t="str">
        <f t="shared" si="4"/>
        <v>Fare Increase</v>
      </c>
      <c r="M338" s="10">
        <f t="shared" si="5"/>
        <v>328400</v>
      </c>
      <c r="N338" s="3" t="str">
        <f t="shared" si="6"/>
        <v>Issued</v>
      </c>
      <c r="O338" s="3" t="str">
        <f t="shared" si="7"/>
        <v>LOSS</v>
      </c>
      <c r="P338" s="3">
        <f t="shared" si="8"/>
        <v>1</v>
      </c>
      <c r="Q338" s="3">
        <f t="shared" si="9"/>
        <v>0</v>
      </c>
      <c r="R338" s="12">
        <f t="shared" si="10"/>
        <v>0</v>
      </c>
    </row>
    <row r="339">
      <c r="A339" s="3" t="s">
        <v>376</v>
      </c>
      <c r="B339" s="4">
        <v>46258.0</v>
      </c>
      <c r="C339" s="4" t="str">
        <f t="shared" si="1"/>
        <v>August</v>
      </c>
      <c r="D339" s="3" t="s">
        <v>23</v>
      </c>
      <c r="E339" s="3" t="s">
        <v>15</v>
      </c>
      <c r="F339" s="3" t="s">
        <v>33</v>
      </c>
      <c r="G339" s="3" t="str">
        <f>VLOOKUP(F339, 'KODE PESAWAT'!$A$2:$C$42, 3, FALSE)</f>
        <v>Garuda Indonesia Group</v>
      </c>
      <c r="H339" s="10">
        <v>751000.0</v>
      </c>
      <c r="I339" s="10">
        <v>1877500.0</v>
      </c>
      <c r="J339" s="10">
        <f t="shared" si="2"/>
        <v>-1126500</v>
      </c>
      <c r="K339" s="11">
        <f t="shared" si="3"/>
        <v>-1.5</v>
      </c>
      <c r="L339" s="3" t="str">
        <f t="shared" si="4"/>
        <v>Over Buffer</v>
      </c>
      <c r="M339" s="10">
        <f t="shared" si="5"/>
        <v>-751000</v>
      </c>
      <c r="N339" s="3" t="str">
        <f t="shared" si="6"/>
        <v>Refund</v>
      </c>
      <c r="O339" s="3" t="str">
        <f t="shared" si="7"/>
        <v>N/A</v>
      </c>
      <c r="P339" s="3">
        <f t="shared" si="8"/>
        <v>0</v>
      </c>
      <c r="Q339" s="3">
        <f t="shared" si="9"/>
        <v>0</v>
      </c>
      <c r="R339" s="12">
        <f t="shared" si="10"/>
        <v>1</v>
      </c>
    </row>
    <row r="340">
      <c r="A340" s="3" t="s">
        <v>377</v>
      </c>
      <c r="B340" s="4">
        <v>46176.0</v>
      </c>
      <c r="C340" s="4" t="str">
        <f t="shared" si="1"/>
        <v>June</v>
      </c>
      <c r="D340" s="3" t="s">
        <v>23</v>
      </c>
      <c r="E340" s="3" t="s">
        <v>15</v>
      </c>
      <c r="F340" s="3" t="s">
        <v>33</v>
      </c>
      <c r="G340" s="3" t="str">
        <f>VLOOKUP(F340, 'KODE PESAWAT'!$A$2:$C$42, 3, FALSE)</f>
        <v>Garuda Indonesia Group</v>
      </c>
      <c r="H340" s="10">
        <v>1.2389E7</v>
      </c>
      <c r="I340" s="10">
        <v>1.176955E7</v>
      </c>
      <c r="J340" s="10">
        <f t="shared" si="2"/>
        <v>619450</v>
      </c>
      <c r="K340" s="11">
        <f t="shared" si="3"/>
        <v>0.05</v>
      </c>
      <c r="L340" s="3" t="str">
        <f t="shared" si="4"/>
        <v>Normal</v>
      </c>
      <c r="M340" s="10">
        <f t="shared" si="5"/>
        <v>-619450</v>
      </c>
      <c r="N340" s="3" t="str">
        <f t="shared" si="6"/>
        <v>Issued</v>
      </c>
      <c r="O340" s="3" t="str">
        <f t="shared" si="7"/>
        <v>PROFIT</v>
      </c>
      <c r="P340" s="3">
        <f t="shared" si="8"/>
        <v>1</v>
      </c>
      <c r="Q340" s="3">
        <f t="shared" si="9"/>
        <v>1</v>
      </c>
      <c r="R340" s="12">
        <f t="shared" si="10"/>
        <v>0</v>
      </c>
    </row>
    <row r="341">
      <c r="A341" s="3" t="s">
        <v>378</v>
      </c>
      <c r="B341" s="4">
        <v>46120.0</v>
      </c>
      <c r="C341" s="4" t="str">
        <f t="shared" si="1"/>
        <v>April</v>
      </c>
      <c r="D341" s="3" t="s">
        <v>18</v>
      </c>
      <c r="E341" s="3" t="s">
        <v>11</v>
      </c>
      <c r="F341" s="3" t="s">
        <v>35</v>
      </c>
      <c r="G341" s="3" t="str">
        <f>VLOOKUP(F341, 'KODE PESAWAT'!$A$2:$C$42, 3, FALSE)</f>
        <v>Lion Air Group</v>
      </c>
      <c r="H341" s="10">
        <v>549000.0</v>
      </c>
      <c r="I341" s="10">
        <v>521550.0</v>
      </c>
      <c r="J341" s="10">
        <f t="shared" si="2"/>
        <v>27450</v>
      </c>
      <c r="K341" s="11">
        <f t="shared" si="3"/>
        <v>0.05</v>
      </c>
      <c r="L341" s="3" t="str">
        <f t="shared" si="4"/>
        <v>Normal</v>
      </c>
      <c r="M341" s="10">
        <f t="shared" si="5"/>
        <v>-27450</v>
      </c>
      <c r="N341" s="3" t="str">
        <f t="shared" si="6"/>
        <v>Issued</v>
      </c>
      <c r="O341" s="3" t="str">
        <f t="shared" si="7"/>
        <v>PROFIT</v>
      </c>
      <c r="P341" s="3">
        <f t="shared" si="8"/>
        <v>1</v>
      </c>
      <c r="Q341" s="3">
        <f t="shared" si="9"/>
        <v>1</v>
      </c>
      <c r="R341" s="12">
        <f t="shared" si="10"/>
        <v>0</v>
      </c>
    </row>
    <row r="342">
      <c r="A342" s="3" t="s">
        <v>379</v>
      </c>
      <c r="B342" s="4">
        <v>46119.0</v>
      </c>
      <c r="C342" s="4" t="str">
        <f t="shared" si="1"/>
        <v>April</v>
      </c>
      <c r="D342" s="3" t="s">
        <v>18</v>
      </c>
      <c r="E342" s="3" t="s">
        <v>11</v>
      </c>
      <c r="F342" s="3" t="s">
        <v>21</v>
      </c>
      <c r="G342" s="3" t="str">
        <f>VLOOKUP(F342, 'KODE PESAWAT'!$A$2:$C$42, 3, FALSE)</f>
        <v>Singapore Airlines Group</v>
      </c>
      <c r="H342" s="10">
        <v>1301000.0</v>
      </c>
      <c r="I342" s="10">
        <v>1235950.0</v>
      </c>
      <c r="J342" s="10">
        <f t="shared" si="2"/>
        <v>65050</v>
      </c>
      <c r="K342" s="11">
        <f t="shared" si="3"/>
        <v>0.05</v>
      </c>
      <c r="L342" s="3" t="str">
        <f t="shared" si="4"/>
        <v>Normal</v>
      </c>
      <c r="M342" s="10">
        <f t="shared" si="5"/>
        <v>-65050</v>
      </c>
      <c r="N342" s="3" t="str">
        <f t="shared" si="6"/>
        <v>Issued</v>
      </c>
      <c r="O342" s="3" t="str">
        <f t="shared" si="7"/>
        <v>PROFIT</v>
      </c>
      <c r="P342" s="3">
        <f t="shared" si="8"/>
        <v>1</v>
      </c>
      <c r="Q342" s="3">
        <f t="shared" si="9"/>
        <v>1</v>
      </c>
      <c r="R342" s="12">
        <f t="shared" si="10"/>
        <v>0</v>
      </c>
    </row>
    <row r="343">
      <c r="A343" s="3" t="s">
        <v>380</v>
      </c>
      <c r="B343" s="4">
        <v>46246.0</v>
      </c>
      <c r="C343" s="4" t="str">
        <f t="shared" si="1"/>
        <v>August</v>
      </c>
      <c r="D343" s="3" t="s">
        <v>10</v>
      </c>
      <c r="E343" s="3" t="s">
        <v>11</v>
      </c>
      <c r="F343" s="3" t="s">
        <v>63</v>
      </c>
      <c r="G343" s="3" t="str">
        <f>VLOOKUP(F343, 'KODE PESAWAT'!$A$2:$C$42, 3, FALSE)</f>
        <v>Lion Air Group</v>
      </c>
      <c r="H343" s="10">
        <v>531000.0</v>
      </c>
      <c r="I343" s="10">
        <v>1327500.0</v>
      </c>
      <c r="J343" s="10">
        <f t="shared" si="2"/>
        <v>-796500</v>
      </c>
      <c r="K343" s="11">
        <f t="shared" si="3"/>
        <v>-1.5</v>
      </c>
      <c r="L343" s="3" t="str">
        <f t="shared" si="4"/>
        <v>Over Buffer</v>
      </c>
      <c r="M343" s="10">
        <f t="shared" si="5"/>
        <v>-531000</v>
      </c>
      <c r="N343" s="3" t="str">
        <f t="shared" si="6"/>
        <v>Refund</v>
      </c>
      <c r="O343" s="3" t="str">
        <f t="shared" si="7"/>
        <v>N/A</v>
      </c>
      <c r="P343" s="3">
        <f t="shared" si="8"/>
        <v>0</v>
      </c>
      <c r="Q343" s="3">
        <f t="shared" si="9"/>
        <v>0</v>
      </c>
      <c r="R343" s="12">
        <f t="shared" si="10"/>
        <v>1</v>
      </c>
    </row>
    <row r="344">
      <c r="A344" s="3" t="s">
        <v>381</v>
      </c>
      <c r="B344" s="4">
        <v>46058.0</v>
      </c>
      <c r="C344" s="4" t="str">
        <f t="shared" si="1"/>
        <v>February</v>
      </c>
      <c r="D344" s="3" t="s">
        <v>18</v>
      </c>
      <c r="E344" s="3" t="s">
        <v>11</v>
      </c>
      <c r="F344" s="3" t="s">
        <v>35</v>
      </c>
      <c r="G344" s="3" t="str">
        <f>VLOOKUP(F344, 'KODE PESAWAT'!$A$2:$C$42, 3, FALSE)</f>
        <v>Lion Air Group</v>
      </c>
      <c r="H344" s="10">
        <v>1536000.0</v>
      </c>
      <c r="I344" s="10">
        <v>1766399.9999999998</v>
      </c>
      <c r="J344" s="10">
        <f t="shared" si="2"/>
        <v>-230400</v>
      </c>
      <c r="K344" s="11">
        <f t="shared" si="3"/>
        <v>-0.15</v>
      </c>
      <c r="L344" s="3" t="str">
        <f t="shared" si="4"/>
        <v>Fare Increase</v>
      </c>
      <c r="M344" s="10">
        <f t="shared" si="5"/>
        <v>230400</v>
      </c>
      <c r="N344" s="3" t="str">
        <f t="shared" si="6"/>
        <v>Issued</v>
      </c>
      <c r="O344" s="3" t="str">
        <f t="shared" si="7"/>
        <v>LOSS</v>
      </c>
      <c r="P344" s="3">
        <f t="shared" si="8"/>
        <v>1</v>
      </c>
      <c r="Q344" s="3">
        <f t="shared" si="9"/>
        <v>0</v>
      </c>
      <c r="R344" s="12">
        <f t="shared" si="10"/>
        <v>0</v>
      </c>
    </row>
    <row r="345">
      <c r="A345" s="3" t="s">
        <v>382</v>
      </c>
      <c r="B345" s="4">
        <v>46145.0</v>
      </c>
      <c r="C345" s="4" t="str">
        <f t="shared" si="1"/>
        <v>May</v>
      </c>
      <c r="D345" s="3" t="s">
        <v>23</v>
      </c>
      <c r="E345" s="3" t="s">
        <v>15</v>
      </c>
      <c r="F345" s="3" t="s">
        <v>19</v>
      </c>
      <c r="G345" s="3" t="str">
        <f>VLOOKUP(F345, 'KODE PESAWAT'!$A$2:$C$42, 3, FALSE)</f>
        <v>Lion Air Group</v>
      </c>
      <c r="H345" s="10">
        <v>1.1227E7</v>
      </c>
      <c r="I345" s="10">
        <v>1.2911049999999998E7</v>
      </c>
      <c r="J345" s="10">
        <f t="shared" si="2"/>
        <v>-1684050</v>
      </c>
      <c r="K345" s="11">
        <f t="shared" si="3"/>
        <v>-0.15</v>
      </c>
      <c r="L345" s="3" t="str">
        <f t="shared" si="4"/>
        <v>Fare Increase</v>
      </c>
      <c r="M345" s="10">
        <f t="shared" si="5"/>
        <v>1684050</v>
      </c>
      <c r="N345" s="3" t="str">
        <f t="shared" si="6"/>
        <v>Issued</v>
      </c>
      <c r="O345" s="3" t="str">
        <f t="shared" si="7"/>
        <v>LOSS</v>
      </c>
      <c r="P345" s="3">
        <f t="shared" si="8"/>
        <v>1</v>
      </c>
      <c r="Q345" s="3">
        <f t="shared" si="9"/>
        <v>0</v>
      </c>
      <c r="R345" s="12">
        <f t="shared" si="10"/>
        <v>0</v>
      </c>
    </row>
    <row r="346">
      <c r="A346" s="3" t="s">
        <v>383</v>
      </c>
      <c r="B346" s="4">
        <v>46249.0</v>
      </c>
      <c r="C346" s="4" t="str">
        <f t="shared" si="1"/>
        <v>August</v>
      </c>
      <c r="D346" s="3" t="s">
        <v>30</v>
      </c>
      <c r="E346" s="3" t="s">
        <v>15</v>
      </c>
      <c r="F346" s="3" t="s">
        <v>42</v>
      </c>
      <c r="G346" s="3" t="str">
        <f>VLOOKUP(F346, 'KODE PESAWAT'!$A$2:$C$42, 3, FALSE)</f>
        <v>Vietnam Airlines Group</v>
      </c>
      <c r="H346" s="10">
        <v>1.1734E7</v>
      </c>
      <c r="I346" s="10">
        <v>1.6427599999999998E7</v>
      </c>
      <c r="J346" s="10">
        <f t="shared" si="2"/>
        <v>-4693600</v>
      </c>
      <c r="K346" s="11">
        <f t="shared" si="3"/>
        <v>-0.4</v>
      </c>
      <c r="L346" s="3" t="str">
        <f t="shared" si="4"/>
        <v>Fare Increase</v>
      </c>
      <c r="M346" s="10">
        <f t="shared" si="5"/>
        <v>4693600</v>
      </c>
      <c r="N346" s="3" t="str">
        <f t="shared" si="6"/>
        <v>Issued</v>
      </c>
      <c r="O346" s="3" t="str">
        <f t="shared" si="7"/>
        <v>LOSS</v>
      </c>
      <c r="P346" s="3">
        <f t="shared" si="8"/>
        <v>1</v>
      </c>
      <c r="Q346" s="3">
        <f t="shared" si="9"/>
        <v>0</v>
      </c>
      <c r="R346" s="12">
        <f t="shared" si="10"/>
        <v>0</v>
      </c>
    </row>
    <row r="347">
      <c r="A347" s="3" t="s">
        <v>384</v>
      </c>
      <c r="B347" s="4">
        <v>46368.0</v>
      </c>
      <c r="C347" s="4" t="str">
        <f t="shared" si="1"/>
        <v>December</v>
      </c>
      <c r="D347" s="3" t="s">
        <v>30</v>
      </c>
      <c r="E347" s="3" t="s">
        <v>15</v>
      </c>
      <c r="F347" s="3" t="s">
        <v>19</v>
      </c>
      <c r="G347" s="3" t="str">
        <f>VLOOKUP(F347, 'KODE PESAWAT'!$A$2:$C$42, 3, FALSE)</f>
        <v>Lion Air Group</v>
      </c>
      <c r="H347" s="10">
        <v>1090000.0</v>
      </c>
      <c r="I347" s="10">
        <v>1253500.0</v>
      </c>
      <c r="J347" s="10">
        <f t="shared" si="2"/>
        <v>-163500</v>
      </c>
      <c r="K347" s="11">
        <f t="shared" si="3"/>
        <v>-0.15</v>
      </c>
      <c r="L347" s="3" t="str">
        <f t="shared" si="4"/>
        <v>Fare Increase</v>
      </c>
      <c r="M347" s="10">
        <f t="shared" si="5"/>
        <v>163500</v>
      </c>
      <c r="N347" s="3" t="str">
        <f t="shared" si="6"/>
        <v>Issued</v>
      </c>
      <c r="O347" s="3" t="str">
        <f t="shared" si="7"/>
        <v>LOSS</v>
      </c>
      <c r="P347" s="3">
        <f t="shared" si="8"/>
        <v>1</v>
      </c>
      <c r="Q347" s="3">
        <f t="shared" si="9"/>
        <v>0</v>
      </c>
      <c r="R347" s="12">
        <f t="shared" si="10"/>
        <v>0</v>
      </c>
    </row>
    <row r="348">
      <c r="A348" s="3" t="s">
        <v>385</v>
      </c>
      <c r="B348" s="4">
        <v>46157.0</v>
      </c>
      <c r="C348" s="4" t="str">
        <f t="shared" si="1"/>
        <v>May</v>
      </c>
      <c r="D348" s="3" t="s">
        <v>10</v>
      </c>
      <c r="E348" s="3" t="s">
        <v>11</v>
      </c>
      <c r="F348" s="3" t="s">
        <v>12</v>
      </c>
      <c r="G348" s="3" t="str">
        <f>VLOOKUP(F348, 'KODE PESAWAT'!$A$2:$C$42, 3, FALSE)</f>
        <v>AirAsia Group</v>
      </c>
      <c r="H348" s="10">
        <v>1183000.0</v>
      </c>
      <c r="I348" s="10">
        <v>2957500.0</v>
      </c>
      <c r="J348" s="10">
        <f t="shared" si="2"/>
        <v>-1774500</v>
      </c>
      <c r="K348" s="11">
        <f t="shared" si="3"/>
        <v>-1.5</v>
      </c>
      <c r="L348" s="3" t="str">
        <f t="shared" si="4"/>
        <v>Over Buffer</v>
      </c>
      <c r="M348" s="10">
        <f t="shared" si="5"/>
        <v>-1183000</v>
      </c>
      <c r="N348" s="3" t="str">
        <f t="shared" si="6"/>
        <v>Refund</v>
      </c>
      <c r="O348" s="3" t="str">
        <f t="shared" si="7"/>
        <v>N/A</v>
      </c>
      <c r="P348" s="3">
        <f t="shared" si="8"/>
        <v>0</v>
      </c>
      <c r="Q348" s="3">
        <f t="shared" si="9"/>
        <v>0</v>
      </c>
      <c r="R348" s="12">
        <f t="shared" si="10"/>
        <v>1</v>
      </c>
    </row>
    <row r="349">
      <c r="A349" s="3" t="s">
        <v>386</v>
      </c>
      <c r="B349" s="4">
        <v>46147.0</v>
      </c>
      <c r="C349" s="4" t="str">
        <f t="shared" si="1"/>
        <v>May</v>
      </c>
      <c r="D349" s="3" t="s">
        <v>23</v>
      </c>
      <c r="E349" s="3" t="s">
        <v>15</v>
      </c>
      <c r="F349" s="3" t="s">
        <v>19</v>
      </c>
      <c r="G349" s="3" t="str">
        <f>VLOOKUP(F349, 'KODE PESAWAT'!$A$2:$C$42, 3, FALSE)</f>
        <v>Lion Air Group</v>
      </c>
      <c r="H349" s="10">
        <v>1786000.0</v>
      </c>
      <c r="I349" s="10">
        <v>2500400.0</v>
      </c>
      <c r="J349" s="10">
        <f t="shared" si="2"/>
        <v>-714400</v>
      </c>
      <c r="K349" s="11">
        <f t="shared" si="3"/>
        <v>-0.4</v>
      </c>
      <c r="L349" s="3" t="str">
        <f t="shared" si="4"/>
        <v>Fare Increase</v>
      </c>
      <c r="M349" s="10">
        <f t="shared" si="5"/>
        <v>714400</v>
      </c>
      <c r="N349" s="3" t="str">
        <f t="shared" si="6"/>
        <v>Issued</v>
      </c>
      <c r="O349" s="3" t="str">
        <f t="shared" si="7"/>
        <v>LOSS</v>
      </c>
      <c r="P349" s="3">
        <f t="shared" si="8"/>
        <v>1</v>
      </c>
      <c r="Q349" s="3">
        <f t="shared" si="9"/>
        <v>0</v>
      </c>
      <c r="R349" s="12">
        <f t="shared" si="10"/>
        <v>0</v>
      </c>
    </row>
    <row r="350">
      <c r="A350" s="3" t="s">
        <v>387</v>
      </c>
      <c r="B350" s="4">
        <v>46225.0</v>
      </c>
      <c r="C350" s="4" t="str">
        <f t="shared" si="1"/>
        <v>July</v>
      </c>
      <c r="D350" s="3" t="s">
        <v>14</v>
      </c>
      <c r="E350" s="3" t="s">
        <v>15</v>
      </c>
      <c r="F350" s="3" t="s">
        <v>63</v>
      </c>
      <c r="G350" s="3" t="str">
        <f>VLOOKUP(F350, 'KODE PESAWAT'!$A$2:$C$42, 3, FALSE)</f>
        <v>Lion Air Group</v>
      </c>
      <c r="H350" s="10">
        <v>1093000.0</v>
      </c>
      <c r="I350" s="10">
        <v>2732500.0</v>
      </c>
      <c r="J350" s="10">
        <f t="shared" si="2"/>
        <v>-1639500</v>
      </c>
      <c r="K350" s="11">
        <f t="shared" si="3"/>
        <v>-1.5</v>
      </c>
      <c r="L350" s="3" t="str">
        <f t="shared" si="4"/>
        <v>Over Buffer</v>
      </c>
      <c r="M350" s="10">
        <f t="shared" si="5"/>
        <v>-1093000</v>
      </c>
      <c r="N350" s="3" t="str">
        <f t="shared" si="6"/>
        <v>Refund</v>
      </c>
      <c r="O350" s="3" t="str">
        <f t="shared" si="7"/>
        <v>N/A</v>
      </c>
      <c r="P350" s="3">
        <f t="shared" si="8"/>
        <v>0</v>
      </c>
      <c r="Q350" s="3">
        <f t="shared" si="9"/>
        <v>0</v>
      </c>
      <c r="R350" s="12">
        <f t="shared" si="10"/>
        <v>1</v>
      </c>
    </row>
    <row r="351">
      <c r="A351" s="3" t="s">
        <v>388</v>
      </c>
      <c r="B351" s="4">
        <v>46248.0</v>
      </c>
      <c r="C351" s="4" t="str">
        <f t="shared" si="1"/>
        <v>August</v>
      </c>
      <c r="D351" s="3" t="s">
        <v>14</v>
      </c>
      <c r="E351" s="3" t="s">
        <v>15</v>
      </c>
      <c r="F351" s="3" t="s">
        <v>63</v>
      </c>
      <c r="G351" s="3" t="str">
        <f>VLOOKUP(F351, 'KODE PESAWAT'!$A$2:$C$42, 3, FALSE)</f>
        <v>Lion Air Group</v>
      </c>
      <c r="H351" s="10">
        <v>2750000.0</v>
      </c>
      <c r="I351" s="10">
        <v>2612500.0</v>
      </c>
      <c r="J351" s="10">
        <f t="shared" si="2"/>
        <v>137500</v>
      </c>
      <c r="K351" s="11">
        <f t="shared" si="3"/>
        <v>0.05</v>
      </c>
      <c r="L351" s="3" t="str">
        <f t="shared" si="4"/>
        <v>Normal</v>
      </c>
      <c r="M351" s="10">
        <f t="shared" si="5"/>
        <v>-137500</v>
      </c>
      <c r="N351" s="3" t="str">
        <f t="shared" si="6"/>
        <v>Issued</v>
      </c>
      <c r="O351" s="3" t="str">
        <f t="shared" si="7"/>
        <v>PROFIT</v>
      </c>
      <c r="P351" s="3">
        <f t="shared" si="8"/>
        <v>1</v>
      </c>
      <c r="Q351" s="3">
        <f t="shared" si="9"/>
        <v>1</v>
      </c>
      <c r="R351" s="12">
        <f t="shared" si="10"/>
        <v>0</v>
      </c>
    </row>
    <row r="352">
      <c r="A352" s="3" t="s">
        <v>389</v>
      </c>
      <c r="B352" s="4">
        <v>46036.0</v>
      </c>
      <c r="C352" s="4" t="str">
        <f t="shared" si="1"/>
        <v>January</v>
      </c>
      <c r="D352" s="3" t="s">
        <v>23</v>
      </c>
      <c r="E352" s="3" t="s">
        <v>15</v>
      </c>
      <c r="F352" s="3" t="s">
        <v>31</v>
      </c>
      <c r="G352" s="3" t="str">
        <f>VLOOKUP(F352, 'KODE PESAWAT'!$A$2:$C$42, 3, FALSE)</f>
        <v>Garuda Indonesia Group</v>
      </c>
      <c r="H352" s="10">
        <v>1780000.0</v>
      </c>
      <c r="I352" s="10">
        <v>4450000.0</v>
      </c>
      <c r="J352" s="10">
        <f t="shared" si="2"/>
        <v>-2670000</v>
      </c>
      <c r="K352" s="11">
        <f t="shared" si="3"/>
        <v>-1.5</v>
      </c>
      <c r="L352" s="3" t="str">
        <f t="shared" si="4"/>
        <v>Over Buffer</v>
      </c>
      <c r="M352" s="10">
        <f t="shared" si="5"/>
        <v>-1780000</v>
      </c>
      <c r="N352" s="3" t="str">
        <f t="shared" si="6"/>
        <v>Refund</v>
      </c>
      <c r="O352" s="3" t="str">
        <f t="shared" si="7"/>
        <v>N/A</v>
      </c>
      <c r="P352" s="3">
        <f t="shared" si="8"/>
        <v>0</v>
      </c>
      <c r="Q352" s="3">
        <f t="shared" si="9"/>
        <v>0</v>
      </c>
      <c r="R352" s="12">
        <f t="shared" si="10"/>
        <v>1</v>
      </c>
    </row>
    <row r="353">
      <c r="A353" s="3" t="s">
        <v>390</v>
      </c>
      <c r="B353" s="4">
        <v>46213.0</v>
      </c>
      <c r="C353" s="4" t="str">
        <f t="shared" si="1"/>
        <v>July</v>
      </c>
      <c r="D353" s="3" t="s">
        <v>10</v>
      </c>
      <c r="E353" s="3" t="s">
        <v>11</v>
      </c>
      <c r="F353" s="3" t="s">
        <v>12</v>
      </c>
      <c r="G353" s="3" t="str">
        <f>VLOOKUP(F353, 'KODE PESAWAT'!$A$2:$C$42, 3, FALSE)</f>
        <v>AirAsia Group</v>
      </c>
      <c r="H353" s="10">
        <v>8680000.0</v>
      </c>
      <c r="I353" s="10">
        <v>1.2152E7</v>
      </c>
      <c r="J353" s="10">
        <f t="shared" si="2"/>
        <v>-3472000</v>
      </c>
      <c r="K353" s="11">
        <f t="shared" si="3"/>
        <v>-0.4</v>
      </c>
      <c r="L353" s="3" t="str">
        <f t="shared" si="4"/>
        <v>Fare Increase</v>
      </c>
      <c r="M353" s="10">
        <f t="shared" si="5"/>
        <v>3472000</v>
      </c>
      <c r="N353" s="3" t="str">
        <f t="shared" si="6"/>
        <v>Issued</v>
      </c>
      <c r="O353" s="3" t="str">
        <f t="shared" si="7"/>
        <v>LOSS</v>
      </c>
      <c r="P353" s="3">
        <f t="shared" si="8"/>
        <v>1</v>
      </c>
      <c r="Q353" s="3">
        <f t="shared" si="9"/>
        <v>0</v>
      </c>
      <c r="R353" s="12">
        <f t="shared" si="10"/>
        <v>0</v>
      </c>
    </row>
    <row r="354">
      <c r="A354" s="3" t="s">
        <v>391</v>
      </c>
      <c r="B354" s="4">
        <v>46323.0</v>
      </c>
      <c r="C354" s="4" t="str">
        <f t="shared" si="1"/>
        <v>October</v>
      </c>
      <c r="D354" s="3" t="s">
        <v>18</v>
      </c>
      <c r="E354" s="3" t="s">
        <v>11</v>
      </c>
      <c r="F354" s="3" t="s">
        <v>19</v>
      </c>
      <c r="G354" s="3" t="str">
        <f>VLOOKUP(F354, 'KODE PESAWAT'!$A$2:$C$42, 3, FALSE)</f>
        <v>Lion Air Group</v>
      </c>
      <c r="H354" s="10">
        <v>675000.0</v>
      </c>
      <c r="I354" s="10">
        <v>944999.9999999999</v>
      </c>
      <c r="J354" s="10">
        <f t="shared" si="2"/>
        <v>-270000</v>
      </c>
      <c r="K354" s="11">
        <f t="shared" si="3"/>
        <v>-0.4</v>
      </c>
      <c r="L354" s="3" t="str">
        <f t="shared" si="4"/>
        <v>Fare Increase</v>
      </c>
      <c r="M354" s="10">
        <f t="shared" si="5"/>
        <v>270000</v>
      </c>
      <c r="N354" s="3" t="str">
        <f t="shared" si="6"/>
        <v>Issued</v>
      </c>
      <c r="O354" s="3" t="str">
        <f t="shared" si="7"/>
        <v>LOSS</v>
      </c>
      <c r="P354" s="3">
        <f t="shared" si="8"/>
        <v>1</v>
      </c>
      <c r="Q354" s="3">
        <f t="shared" si="9"/>
        <v>0</v>
      </c>
      <c r="R354" s="12">
        <f t="shared" si="10"/>
        <v>0</v>
      </c>
    </row>
    <row r="355">
      <c r="A355" s="3" t="s">
        <v>392</v>
      </c>
      <c r="B355" s="4">
        <v>46279.0</v>
      </c>
      <c r="C355" s="4" t="str">
        <f t="shared" si="1"/>
        <v>September</v>
      </c>
      <c r="D355" s="3" t="s">
        <v>14</v>
      </c>
      <c r="E355" s="3" t="s">
        <v>15</v>
      </c>
      <c r="F355" s="3" t="s">
        <v>37</v>
      </c>
      <c r="G355" s="3" t="str">
        <f>VLOOKUP(F355, 'KODE PESAWAT'!$A$2:$C$42, 3, FALSE)</f>
        <v>Lion Air Group</v>
      </c>
      <c r="H355" s="10">
        <v>459000.0</v>
      </c>
      <c r="I355" s="10">
        <v>642600.0</v>
      </c>
      <c r="J355" s="10">
        <f t="shared" si="2"/>
        <v>-183600</v>
      </c>
      <c r="K355" s="11">
        <f t="shared" si="3"/>
        <v>-0.4</v>
      </c>
      <c r="L355" s="3" t="str">
        <f t="shared" si="4"/>
        <v>Fare Increase</v>
      </c>
      <c r="M355" s="10">
        <f t="shared" si="5"/>
        <v>183600</v>
      </c>
      <c r="N355" s="3" t="str">
        <f t="shared" si="6"/>
        <v>Issued</v>
      </c>
      <c r="O355" s="3" t="str">
        <f t="shared" si="7"/>
        <v>LOSS</v>
      </c>
      <c r="P355" s="3">
        <f t="shared" si="8"/>
        <v>1</v>
      </c>
      <c r="Q355" s="3">
        <f t="shared" si="9"/>
        <v>0</v>
      </c>
      <c r="R355" s="12">
        <f t="shared" si="10"/>
        <v>0</v>
      </c>
    </row>
    <row r="356">
      <c r="A356" s="3" t="s">
        <v>393</v>
      </c>
      <c r="B356" s="4">
        <v>46282.0</v>
      </c>
      <c r="C356" s="4" t="str">
        <f t="shared" si="1"/>
        <v>September</v>
      </c>
      <c r="D356" s="3" t="s">
        <v>10</v>
      </c>
      <c r="E356" s="3" t="s">
        <v>11</v>
      </c>
      <c r="F356" s="3" t="s">
        <v>63</v>
      </c>
      <c r="G356" s="3" t="str">
        <f>VLOOKUP(F356, 'KODE PESAWAT'!$A$2:$C$42, 3, FALSE)</f>
        <v>Lion Air Group</v>
      </c>
      <c r="H356" s="10">
        <v>1530000.0</v>
      </c>
      <c r="I356" s="10">
        <v>3825000.0</v>
      </c>
      <c r="J356" s="10">
        <f t="shared" si="2"/>
        <v>-2295000</v>
      </c>
      <c r="K356" s="11">
        <f t="shared" si="3"/>
        <v>-1.5</v>
      </c>
      <c r="L356" s="3" t="str">
        <f t="shared" si="4"/>
        <v>Over Buffer</v>
      </c>
      <c r="M356" s="10">
        <f t="shared" si="5"/>
        <v>-1530000</v>
      </c>
      <c r="N356" s="3" t="str">
        <f t="shared" si="6"/>
        <v>Refund</v>
      </c>
      <c r="O356" s="3" t="str">
        <f t="shared" si="7"/>
        <v>N/A</v>
      </c>
      <c r="P356" s="3">
        <f t="shared" si="8"/>
        <v>0</v>
      </c>
      <c r="Q356" s="3">
        <f t="shared" si="9"/>
        <v>0</v>
      </c>
      <c r="R356" s="12">
        <f t="shared" si="10"/>
        <v>1</v>
      </c>
    </row>
    <row r="357">
      <c r="A357" s="3" t="s">
        <v>394</v>
      </c>
      <c r="B357" s="4">
        <v>46174.0</v>
      </c>
      <c r="C357" s="4" t="str">
        <f t="shared" si="1"/>
        <v>June</v>
      </c>
      <c r="D357" s="3" t="s">
        <v>10</v>
      </c>
      <c r="E357" s="3" t="s">
        <v>11</v>
      </c>
      <c r="F357" s="3" t="s">
        <v>63</v>
      </c>
      <c r="G357" s="3" t="str">
        <f>VLOOKUP(F357, 'KODE PESAWAT'!$A$2:$C$42, 3, FALSE)</f>
        <v>Lion Air Group</v>
      </c>
      <c r="H357" s="10">
        <v>883000.0</v>
      </c>
      <c r="I357" s="10">
        <v>2207500.0</v>
      </c>
      <c r="J357" s="10">
        <f t="shared" si="2"/>
        <v>-1324500</v>
      </c>
      <c r="K357" s="11">
        <f t="shared" si="3"/>
        <v>-1.5</v>
      </c>
      <c r="L357" s="3" t="str">
        <f t="shared" si="4"/>
        <v>Over Buffer</v>
      </c>
      <c r="M357" s="10">
        <f t="shared" si="5"/>
        <v>-883000</v>
      </c>
      <c r="N357" s="3" t="str">
        <f t="shared" si="6"/>
        <v>Refund</v>
      </c>
      <c r="O357" s="3" t="str">
        <f t="shared" si="7"/>
        <v>N/A</v>
      </c>
      <c r="P357" s="3">
        <f t="shared" si="8"/>
        <v>0</v>
      </c>
      <c r="Q357" s="3">
        <f t="shared" si="9"/>
        <v>0</v>
      </c>
      <c r="R357" s="12">
        <f t="shared" si="10"/>
        <v>1</v>
      </c>
    </row>
    <row r="358">
      <c r="A358" s="3" t="s">
        <v>395</v>
      </c>
      <c r="B358" s="4">
        <v>46139.0</v>
      </c>
      <c r="C358" s="4" t="str">
        <f t="shared" si="1"/>
        <v>April</v>
      </c>
      <c r="D358" s="3" t="s">
        <v>14</v>
      </c>
      <c r="E358" s="3" t="s">
        <v>15</v>
      </c>
      <c r="F358" s="3" t="s">
        <v>63</v>
      </c>
      <c r="G358" s="3" t="str">
        <f>VLOOKUP(F358, 'KODE PESAWAT'!$A$2:$C$42, 3, FALSE)</f>
        <v>Lion Air Group</v>
      </c>
      <c r="H358" s="10">
        <v>1616000.0</v>
      </c>
      <c r="I358" s="10">
        <v>1858399.9999999998</v>
      </c>
      <c r="J358" s="10">
        <f t="shared" si="2"/>
        <v>-242400</v>
      </c>
      <c r="K358" s="11">
        <f t="shared" si="3"/>
        <v>-0.15</v>
      </c>
      <c r="L358" s="3" t="str">
        <f t="shared" si="4"/>
        <v>Fare Increase</v>
      </c>
      <c r="M358" s="10">
        <f t="shared" si="5"/>
        <v>242400</v>
      </c>
      <c r="N358" s="3" t="str">
        <f t="shared" si="6"/>
        <v>Issued</v>
      </c>
      <c r="O358" s="3" t="str">
        <f t="shared" si="7"/>
        <v>LOSS</v>
      </c>
      <c r="P358" s="3">
        <f t="shared" si="8"/>
        <v>1</v>
      </c>
      <c r="Q358" s="3">
        <f t="shared" si="9"/>
        <v>0</v>
      </c>
      <c r="R358" s="12">
        <f t="shared" si="10"/>
        <v>0</v>
      </c>
    </row>
    <row r="359">
      <c r="A359" s="3" t="s">
        <v>396</v>
      </c>
      <c r="B359" s="4">
        <v>46115.0</v>
      </c>
      <c r="C359" s="4" t="str">
        <f t="shared" si="1"/>
        <v>April</v>
      </c>
      <c r="D359" s="3" t="s">
        <v>25</v>
      </c>
      <c r="E359" s="3" t="s">
        <v>15</v>
      </c>
      <c r="F359" s="3" t="s">
        <v>116</v>
      </c>
      <c r="G359" s="3" t="str">
        <f>VLOOKUP(F359, 'KODE PESAWAT'!$A$2:$C$42, 3, FALSE)</f>
        <v>VietJet Group</v>
      </c>
      <c r="H359" s="10">
        <v>798000.0</v>
      </c>
      <c r="I359" s="10">
        <v>1117200.0</v>
      </c>
      <c r="J359" s="10">
        <f t="shared" si="2"/>
        <v>-319200</v>
      </c>
      <c r="K359" s="11">
        <f t="shared" si="3"/>
        <v>-0.4</v>
      </c>
      <c r="L359" s="3" t="str">
        <f t="shared" si="4"/>
        <v>Fare Increase</v>
      </c>
      <c r="M359" s="10">
        <f t="shared" si="5"/>
        <v>319200</v>
      </c>
      <c r="N359" s="3" t="str">
        <f t="shared" si="6"/>
        <v>Issued</v>
      </c>
      <c r="O359" s="3" t="str">
        <f t="shared" si="7"/>
        <v>LOSS</v>
      </c>
      <c r="P359" s="3">
        <f t="shared" si="8"/>
        <v>1</v>
      </c>
      <c r="Q359" s="3">
        <f t="shared" si="9"/>
        <v>0</v>
      </c>
      <c r="R359" s="12">
        <f t="shared" si="10"/>
        <v>0</v>
      </c>
    </row>
    <row r="360">
      <c r="A360" s="3" t="s">
        <v>397</v>
      </c>
      <c r="B360" s="4">
        <v>46274.0</v>
      </c>
      <c r="C360" s="4" t="str">
        <f t="shared" si="1"/>
        <v>September</v>
      </c>
      <c r="D360" s="3" t="s">
        <v>30</v>
      </c>
      <c r="E360" s="3" t="s">
        <v>15</v>
      </c>
      <c r="F360" s="3" t="s">
        <v>33</v>
      </c>
      <c r="G360" s="3" t="str">
        <f>VLOOKUP(F360, 'KODE PESAWAT'!$A$2:$C$42, 3, FALSE)</f>
        <v>Garuda Indonesia Group</v>
      </c>
      <c r="H360" s="10">
        <v>1.1167E7</v>
      </c>
      <c r="I360" s="10">
        <v>1.2842049999999998E7</v>
      </c>
      <c r="J360" s="10">
        <f t="shared" si="2"/>
        <v>-1675050</v>
      </c>
      <c r="K360" s="11">
        <f t="shared" si="3"/>
        <v>-0.15</v>
      </c>
      <c r="L360" s="3" t="str">
        <f t="shared" si="4"/>
        <v>Fare Increase</v>
      </c>
      <c r="M360" s="10">
        <f t="shared" si="5"/>
        <v>1675050</v>
      </c>
      <c r="N360" s="3" t="str">
        <f t="shared" si="6"/>
        <v>Issued</v>
      </c>
      <c r="O360" s="3" t="str">
        <f t="shared" si="7"/>
        <v>LOSS</v>
      </c>
      <c r="P360" s="3">
        <f t="shared" si="8"/>
        <v>1</v>
      </c>
      <c r="Q360" s="3">
        <f t="shared" si="9"/>
        <v>0</v>
      </c>
      <c r="R360" s="12">
        <f t="shared" si="10"/>
        <v>0</v>
      </c>
    </row>
    <row r="361">
      <c r="A361" s="3" t="s">
        <v>398</v>
      </c>
      <c r="B361" s="4">
        <v>46349.0</v>
      </c>
      <c r="C361" s="4" t="str">
        <f t="shared" si="1"/>
        <v>November</v>
      </c>
      <c r="D361" s="3" t="s">
        <v>10</v>
      </c>
      <c r="E361" s="3" t="s">
        <v>11</v>
      </c>
      <c r="F361" s="3" t="s">
        <v>21</v>
      </c>
      <c r="G361" s="3" t="str">
        <f>VLOOKUP(F361, 'KODE PESAWAT'!$A$2:$C$42, 3, FALSE)</f>
        <v>Singapore Airlines Group</v>
      </c>
      <c r="H361" s="10">
        <v>3337000.0</v>
      </c>
      <c r="I361" s="10">
        <v>4671800.0</v>
      </c>
      <c r="J361" s="10">
        <f t="shared" si="2"/>
        <v>-1334800</v>
      </c>
      <c r="K361" s="11">
        <f t="shared" si="3"/>
        <v>-0.4</v>
      </c>
      <c r="L361" s="3" t="str">
        <f t="shared" si="4"/>
        <v>Fare Increase</v>
      </c>
      <c r="M361" s="10">
        <f t="shared" si="5"/>
        <v>1334800</v>
      </c>
      <c r="N361" s="3" t="str">
        <f t="shared" si="6"/>
        <v>Issued</v>
      </c>
      <c r="O361" s="3" t="str">
        <f t="shared" si="7"/>
        <v>LOSS</v>
      </c>
      <c r="P361" s="3">
        <f t="shared" si="8"/>
        <v>1</v>
      </c>
      <c r="Q361" s="3">
        <f t="shared" si="9"/>
        <v>0</v>
      </c>
      <c r="R361" s="12">
        <f t="shared" si="10"/>
        <v>0</v>
      </c>
    </row>
    <row r="362">
      <c r="A362" s="3" t="s">
        <v>399</v>
      </c>
      <c r="B362" s="4">
        <v>46380.0</v>
      </c>
      <c r="C362" s="4" t="str">
        <f t="shared" si="1"/>
        <v>December</v>
      </c>
      <c r="D362" s="3" t="s">
        <v>25</v>
      </c>
      <c r="E362" s="3" t="s">
        <v>15</v>
      </c>
      <c r="F362" s="3" t="s">
        <v>61</v>
      </c>
      <c r="G362" s="3" t="str">
        <f>VLOOKUP(F362, 'KODE PESAWAT'!$A$2:$C$42, 3, FALSE)</f>
        <v>Vietravel Group</v>
      </c>
      <c r="H362" s="10">
        <v>734000.0</v>
      </c>
      <c r="I362" s="10">
        <v>697300.0</v>
      </c>
      <c r="J362" s="10">
        <f t="shared" si="2"/>
        <v>36700</v>
      </c>
      <c r="K362" s="11">
        <f t="shared" si="3"/>
        <v>0.05</v>
      </c>
      <c r="L362" s="3" t="str">
        <f t="shared" si="4"/>
        <v>Normal</v>
      </c>
      <c r="M362" s="10">
        <f t="shared" si="5"/>
        <v>-36700</v>
      </c>
      <c r="N362" s="3" t="str">
        <f t="shared" si="6"/>
        <v>Issued</v>
      </c>
      <c r="O362" s="3" t="str">
        <f t="shared" si="7"/>
        <v>PROFIT</v>
      </c>
      <c r="P362" s="3">
        <f t="shared" si="8"/>
        <v>1</v>
      </c>
      <c r="Q362" s="3">
        <f t="shared" si="9"/>
        <v>1</v>
      </c>
      <c r="R362" s="12">
        <f t="shared" si="10"/>
        <v>0</v>
      </c>
    </row>
    <row r="363">
      <c r="A363" s="3" t="s">
        <v>400</v>
      </c>
      <c r="B363" s="4">
        <v>46211.0</v>
      </c>
      <c r="C363" s="4" t="str">
        <f t="shared" si="1"/>
        <v>July</v>
      </c>
      <c r="D363" s="3" t="s">
        <v>10</v>
      </c>
      <c r="E363" s="3" t="s">
        <v>11</v>
      </c>
      <c r="F363" s="3" t="s">
        <v>21</v>
      </c>
      <c r="G363" s="3" t="str">
        <f>VLOOKUP(F363, 'KODE PESAWAT'!$A$2:$C$42, 3, FALSE)</f>
        <v>Singapore Airlines Group</v>
      </c>
      <c r="H363" s="10">
        <v>1571000.0</v>
      </c>
      <c r="I363" s="10">
        <v>1806649.9999999998</v>
      </c>
      <c r="J363" s="10">
        <f t="shared" si="2"/>
        <v>-235650</v>
      </c>
      <c r="K363" s="11">
        <f t="shared" si="3"/>
        <v>-0.15</v>
      </c>
      <c r="L363" s="3" t="str">
        <f t="shared" si="4"/>
        <v>Fare Increase</v>
      </c>
      <c r="M363" s="10">
        <f t="shared" si="5"/>
        <v>235650</v>
      </c>
      <c r="N363" s="3" t="str">
        <f t="shared" si="6"/>
        <v>Issued</v>
      </c>
      <c r="O363" s="3" t="str">
        <f t="shared" si="7"/>
        <v>LOSS</v>
      </c>
      <c r="P363" s="3">
        <f t="shared" si="8"/>
        <v>1</v>
      </c>
      <c r="Q363" s="3">
        <f t="shared" si="9"/>
        <v>0</v>
      </c>
      <c r="R363" s="12">
        <f t="shared" si="10"/>
        <v>0</v>
      </c>
    </row>
    <row r="364">
      <c r="A364" s="3" t="s">
        <v>401</v>
      </c>
      <c r="B364" s="4">
        <v>46034.0</v>
      </c>
      <c r="C364" s="4" t="str">
        <f t="shared" si="1"/>
        <v>January</v>
      </c>
      <c r="D364" s="3" t="s">
        <v>25</v>
      </c>
      <c r="E364" s="3" t="s">
        <v>15</v>
      </c>
      <c r="F364" s="3" t="s">
        <v>116</v>
      </c>
      <c r="G364" s="3" t="str">
        <f>VLOOKUP(F364, 'KODE PESAWAT'!$A$2:$C$42, 3, FALSE)</f>
        <v>VietJet Group</v>
      </c>
      <c r="H364" s="10">
        <v>1785000.0</v>
      </c>
      <c r="I364" s="10">
        <v>2499000.0</v>
      </c>
      <c r="J364" s="10">
        <f t="shared" si="2"/>
        <v>-714000</v>
      </c>
      <c r="K364" s="11">
        <f t="shared" si="3"/>
        <v>-0.4</v>
      </c>
      <c r="L364" s="3" t="str">
        <f t="shared" si="4"/>
        <v>Fare Increase</v>
      </c>
      <c r="M364" s="10">
        <f t="shared" si="5"/>
        <v>714000</v>
      </c>
      <c r="N364" s="3" t="str">
        <f t="shared" si="6"/>
        <v>Issued</v>
      </c>
      <c r="O364" s="3" t="str">
        <f t="shared" si="7"/>
        <v>LOSS</v>
      </c>
      <c r="P364" s="3">
        <f t="shared" si="8"/>
        <v>1</v>
      </c>
      <c r="Q364" s="3">
        <f t="shared" si="9"/>
        <v>0</v>
      </c>
      <c r="R364" s="12">
        <f t="shared" si="10"/>
        <v>0</v>
      </c>
    </row>
    <row r="365">
      <c r="A365" s="3" t="s">
        <v>402</v>
      </c>
      <c r="B365" s="4">
        <v>46046.0</v>
      </c>
      <c r="C365" s="4" t="str">
        <f t="shared" si="1"/>
        <v>January</v>
      </c>
      <c r="D365" s="3" t="s">
        <v>30</v>
      </c>
      <c r="E365" s="3" t="s">
        <v>15</v>
      </c>
      <c r="F365" s="3" t="s">
        <v>116</v>
      </c>
      <c r="G365" s="3" t="str">
        <f>VLOOKUP(F365, 'KODE PESAWAT'!$A$2:$C$42, 3, FALSE)</f>
        <v>VietJet Group</v>
      </c>
      <c r="H365" s="10">
        <v>565000.0</v>
      </c>
      <c r="I365" s="10">
        <v>791000.0</v>
      </c>
      <c r="J365" s="10">
        <f t="shared" si="2"/>
        <v>-226000</v>
      </c>
      <c r="K365" s="11">
        <f t="shared" si="3"/>
        <v>-0.4</v>
      </c>
      <c r="L365" s="3" t="str">
        <f t="shared" si="4"/>
        <v>Fare Increase</v>
      </c>
      <c r="M365" s="10">
        <f t="shared" si="5"/>
        <v>226000</v>
      </c>
      <c r="N365" s="3" t="str">
        <f t="shared" si="6"/>
        <v>Issued</v>
      </c>
      <c r="O365" s="3" t="str">
        <f t="shared" si="7"/>
        <v>LOSS</v>
      </c>
      <c r="P365" s="3">
        <f t="shared" si="8"/>
        <v>1</v>
      </c>
      <c r="Q365" s="3">
        <f t="shared" si="9"/>
        <v>0</v>
      </c>
      <c r="R365" s="12">
        <f t="shared" si="10"/>
        <v>0</v>
      </c>
    </row>
    <row r="366">
      <c r="A366" s="3" t="s">
        <v>403</v>
      </c>
      <c r="B366" s="4">
        <v>46188.0</v>
      </c>
      <c r="C366" s="4" t="str">
        <f t="shared" si="1"/>
        <v>June</v>
      </c>
      <c r="D366" s="3" t="s">
        <v>18</v>
      </c>
      <c r="E366" s="3" t="s">
        <v>11</v>
      </c>
      <c r="F366" s="3" t="s">
        <v>21</v>
      </c>
      <c r="G366" s="3" t="str">
        <f>VLOOKUP(F366, 'KODE PESAWAT'!$A$2:$C$42, 3, FALSE)</f>
        <v>Singapore Airlines Group</v>
      </c>
      <c r="H366" s="10">
        <v>1662000.0</v>
      </c>
      <c r="I366" s="10">
        <v>1578900.0</v>
      </c>
      <c r="J366" s="10">
        <f t="shared" si="2"/>
        <v>83100</v>
      </c>
      <c r="K366" s="11">
        <f t="shared" si="3"/>
        <v>0.05</v>
      </c>
      <c r="L366" s="3" t="str">
        <f t="shared" si="4"/>
        <v>Normal</v>
      </c>
      <c r="M366" s="10">
        <f t="shared" si="5"/>
        <v>-83100</v>
      </c>
      <c r="N366" s="3" t="str">
        <f t="shared" si="6"/>
        <v>Issued</v>
      </c>
      <c r="O366" s="3" t="str">
        <f t="shared" si="7"/>
        <v>PROFIT</v>
      </c>
      <c r="P366" s="3">
        <f t="shared" si="8"/>
        <v>1</v>
      </c>
      <c r="Q366" s="3">
        <f t="shared" si="9"/>
        <v>1</v>
      </c>
      <c r="R366" s="12">
        <f t="shared" si="10"/>
        <v>0</v>
      </c>
    </row>
    <row r="367">
      <c r="A367" s="3" t="s">
        <v>404</v>
      </c>
      <c r="B367" s="4">
        <v>46041.0</v>
      </c>
      <c r="C367" s="4" t="str">
        <f t="shared" si="1"/>
        <v>January</v>
      </c>
      <c r="D367" s="3" t="s">
        <v>14</v>
      </c>
      <c r="E367" s="3" t="s">
        <v>15</v>
      </c>
      <c r="F367" s="3" t="s">
        <v>16</v>
      </c>
      <c r="G367" s="3" t="str">
        <f>VLOOKUP(F367, 'KODE PESAWAT'!$A$2:$C$42, 3, FALSE)</f>
        <v>Thai Airways Group (Associate)</v>
      </c>
      <c r="H367" s="10">
        <v>1.4566E7</v>
      </c>
      <c r="I367" s="10">
        <v>3.6415E7</v>
      </c>
      <c r="J367" s="10">
        <f t="shared" si="2"/>
        <v>-21849000</v>
      </c>
      <c r="K367" s="11">
        <f t="shared" si="3"/>
        <v>-1.5</v>
      </c>
      <c r="L367" s="3" t="str">
        <f t="shared" si="4"/>
        <v>Over Buffer</v>
      </c>
      <c r="M367" s="10">
        <f t="shared" si="5"/>
        <v>-14566000</v>
      </c>
      <c r="N367" s="3" t="str">
        <f t="shared" si="6"/>
        <v>Refund</v>
      </c>
      <c r="O367" s="3" t="str">
        <f t="shared" si="7"/>
        <v>N/A</v>
      </c>
      <c r="P367" s="3">
        <f t="shared" si="8"/>
        <v>0</v>
      </c>
      <c r="Q367" s="3">
        <f t="shared" si="9"/>
        <v>0</v>
      </c>
      <c r="R367" s="12">
        <f t="shared" si="10"/>
        <v>1</v>
      </c>
    </row>
    <row r="368">
      <c r="A368" s="3" t="s">
        <v>405</v>
      </c>
      <c r="B368" s="4">
        <v>46335.0</v>
      </c>
      <c r="C368" s="4" t="str">
        <f t="shared" si="1"/>
        <v>November</v>
      </c>
      <c r="D368" s="3" t="s">
        <v>14</v>
      </c>
      <c r="E368" s="3" t="s">
        <v>15</v>
      </c>
      <c r="F368" s="3" t="s">
        <v>63</v>
      </c>
      <c r="G368" s="3" t="str">
        <f>VLOOKUP(F368, 'KODE PESAWAT'!$A$2:$C$42, 3, FALSE)</f>
        <v>Lion Air Group</v>
      </c>
      <c r="H368" s="10">
        <v>1.4355E7</v>
      </c>
      <c r="I368" s="10">
        <v>2.0097E7</v>
      </c>
      <c r="J368" s="10">
        <f t="shared" si="2"/>
        <v>-5742000</v>
      </c>
      <c r="K368" s="11">
        <f t="shared" si="3"/>
        <v>-0.4</v>
      </c>
      <c r="L368" s="3" t="str">
        <f t="shared" si="4"/>
        <v>Fare Increase</v>
      </c>
      <c r="M368" s="10">
        <f t="shared" si="5"/>
        <v>5742000</v>
      </c>
      <c r="N368" s="3" t="str">
        <f t="shared" si="6"/>
        <v>Issued</v>
      </c>
      <c r="O368" s="3" t="str">
        <f t="shared" si="7"/>
        <v>LOSS</v>
      </c>
      <c r="P368" s="3">
        <f t="shared" si="8"/>
        <v>1</v>
      </c>
      <c r="Q368" s="3">
        <f t="shared" si="9"/>
        <v>0</v>
      </c>
      <c r="R368" s="12">
        <f t="shared" si="10"/>
        <v>0</v>
      </c>
    </row>
    <row r="369">
      <c r="A369" s="3" t="s">
        <v>406</v>
      </c>
      <c r="B369" s="4">
        <v>46270.0</v>
      </c>
      <c r="C369" s="4" t="str">
        <f t="shared" si="1"/>
        <v>September</v>
      </c>
      <c r="D369" s="3" t="s">
        <v>25</v>
      </c>
      <c r="E369" s="3" t="s">
        <v>15</v>
      </c>
      <c r="F369" s="3" t="s">
        <v>42</v>
      </c>
      <c r="G369" s="3" t="str">
        <f>VLOOKUP(F369, 'KODE PESAWAT'!$A$2:$C$42, 3, FALSE)</f>
        <v>Vietnam Airlines Group</v>
      </c>
      <c r="H369" s="10">
        <v>6779000.0</v>
      </c>
      <c r="I369" s="10">
        <v>6440050.0</v>
      </c>
      <c r="J369" s="10">
        <f t="shared" si="2"/>
        <v>338950</v>
      </c>
      <c r="K369" s="11">
        <f t="shared" si="3"/>
        <v>0.05</v>
      </c>
      <c r="L369" s="3" t="str">
        <f t="shared" si="4"/>
        <v>Normal</v>
      </c>
      <c r="M369" s="10">
        <f t="shared" si="5"/>
        <v>-338950</v>
      </c>
      <c r="N369" s="3" t="str">
        <f t="shared" si="6"/>
        <v>Issued</v>
      </c>
      <c r="O369" s="3" t="str">
        <f t="shared" si="7"/>
        <v>PROFIT</v>
      </c>
      <c r="P369" s="3">
        <f t="shared" si="8"/>
        <v>1</v>
      </c>
      <c r="Q369" s="3">
        <f t="shared" si="9"/>
        <v>1</v>
      </c>
      <c r="R369" s="12">
        <f t="shared" si="10"/>
        <v>0</v>
      </c>
    </row>
    <row r="370">
      <c r="A370" s="3" t="s">
        <v>407</v>
      </c>
      <c r="B370" s="4">
        <v>46261.0</v>
      </c>
      <c r="C370" s="4" t="str">
        <f t="shared" si="1"/>
        <v>August</v>
      </c>
      <c r="D370" s="3" t="s">
        <v>14</v>
      </c>
      <c r="E370" s="3" t="s">
        <v>15</v>
      </c>
      <c r="F370" s="3" t="s">
        <v>16</v>
      </c>
      <c r="G370" s="3" t="str">
        <f>VLOOKUP(F370, 'KODE PESAWAT'!$A$2:$C$42, 3, FALSE)</f>
        <v>Thai Airways Group (Associate)</v>
      </c>
      <c r="H370" s="10">
        <v>1735000.0</v>
      </c>
      <c r="I370" s="10">
        <v>1648250.0</v>
      </c>
      <c r="J370" s="10">
        <f t="shared" si="2"/>
        <v>86750</v>
      </c>
      <c r="K370" s="11">
        <f t="shared" si="3"/>
        <v>0.05</v>
      </c>
      <c r="L370" s="3" t="str">
        <f t="shared" si="4"/>
        <v>Normal</v>
      </c>
      <c r="M370" s="10">
        <f t="shared" si="5"/>
        <v>-86750</v>
      </c>
      <c r="N370" s="3" t="str">
        <f t="shared" si="6"/>
        <v>Issued</v>
      </c>
      <c r="O370" s="3" t="str">
        <f t="shared" si="7"/>
        <v>PROFIT</v>
      </c>
      <c r="P370" s="3">
        <f t="shared" si="8"/>
        <v>1</v>
      </c>
      <c r="Q370" s="3">
        <f t="shared" si="9"/>
        <v>1</v>
      </c>
      <c r="R370" s="12">
        <f t="shared" si="10"/>
        <v>0</v>
      </c>
    </row>
    <row r="371">
      <c r="A371" s="3" t="s">
        <v>408</v>
      </c>
      <c r="B371" s="4">
        <v>46125.0</v>
      </c>
      <c r="C371" s="4" t="str">
        <f t="shared" si="1"/>
        <v>April</v>
      </c>
      <c r="D371" s="3" t="s">
        <v>10</v>
      </c>
      <c r="E371" s="3" t="s">
        <v>11</v>
      </c>
      <c r="F371" s="3" t="s">
        <v>19</v>
      </c>
      <c r="G371" s="3" t="str">
        <f>VLOOKUP(F371, 'KODE PESAWAT'!$A$2:$C$42, 3, FALSE)</f>
        <v>Lion Air Group</v>
      </c>
      <c r="H371" s="10">
        <v>1221000.0</v>
      </c>
      <c r="I371" s="10">
        <v>3052500.0</v>
      </c>
      <c r="J371" s="10">
        <f t="shared" si="2"/>
        <v>-1831500</v>
      </c>
      <c r="K371" s="11">
        <f t="shared" si="3"/>
        <v>-1.5</v>
      </c>
      <c r="L371" s="3" t="str">
        <f t="shared" si="4"/>
        <v>Over Buffer</v>
      </c>
      <c r="M371" s="10">
        <f t="shared" si="5"/>
        <v>-1221000</v>
      </c>
      <c r="N371" s="3" t="str">
        <f t="shared" si="6"/>
        <v>Refund</v>
      </c>
      <c r="O371" s="3" t="str">
        <f t="shared" si="7"/>
        <v>N/A</v>
      </c>
      <c r="P371" s="3">
        <f t="shared" si="8"/>
        <v>0</v>
      </c>
      <c r="Q371" s="3">
        <f t="shared" si="9"/>
        <v>0</v>
      </c>
      <c r="R371" s="12">
        <f t="shared" si="10"/>
        <v>1</v>
      </c>
    </row>
    <row r="372">
      <c r="A372" s="3" t="s">
        <v>409</v>
      </c>
      <c r="B372" s="4">
        <v>46291.0</v>
      </c>
      <c r="C372" s="4" t="str">
        <f t="shared" si="1"/>
        <v>September</v>
      </c>
      <c r="D372" s="3" t="s">
        <v>10</v>
      </c>
      <c r="E372" s="3" t="s">
        <v>11</v>
      </c>
      <c r="F372" s="3" t="s">
        <v>19</v>
      </c>
      <c r="G372" s="3" t="str">
        <f>VLOOKUP(F372, 'KODE PESAWAT'!$A$2:$C$42, 3, FALSE)</f>
        <v>Lion Air Group</v>
      </c>
      <c r="H372" s="10">
        <v>570000.0</v>
      </c>
      <c r="I372" s="10">
        <v>541500.0</v>
      </c>
      <c r="J372" s="10">
        <f t="shared" si="2"/>
        <v>28500</v>
      </c>
      <c r="K372" s="11">
        <f t="shared" si="3"/>
        <v>0.05</v>
      </c>
      <c r="L372" s="3" t="str">
        <f t="shared" si="4"/>
        <v>Normal</v>
      </c>
      <c r="M372" s="10">
        <f t="shared" si="5"/>
        <v>-28500</v>
      </c>
      <c r="N372" s="3" t="str">
        <f t="shared" si="6"/>
        <v>Issued</v>
      </c>
      <c r="O372" s="3" t="str">
        <f t="shared" si="7"/>
        <v>PROFIT</v>
      </c>
      <c r="P372" s="3">
        <f t="shared" si="8"/>
        <v>1</v>
      </c>
      <c r="Q372" s="3">
        <f t="shared" si="9"/>
        <v>1</v>
      </c>
      <c r="R372" s="12">
        <f t="shared" si="10"/>
        <v>0</v>
      </c>
    </row>
    <row r="373">
      <c r="A373" s="3" t="s">
        <v>410</v>
      </c>
      <c r="B373" s="4">
        <v>46167.0</v>
      </c>
      <c r="C373" s="4" t="str">
        <f t="shared" si="1"/>
        <v>May</v>
      </c>
      <c r="D373" s="3" t="s">
        <v>14</v>
      </c>
      <c r="E373" s="3" t="s">
        <v>15</v>
      </c>
      <c r="F373" s="3" t="s">
        <v>63</v>
      </c>
      <c r="G373" s="3" t="str">
        <f>VLOOKUP(F373, 'KODE PESAWAT'!$A$2:$C$42, 3, FALSE)</f>
        <v>Lion Air Group</v>
      </c>
      <c r="H373" s="10">
        <v>1062000.0</v>
      </c>
      <c r="I373" s="10">
        <v>2655000.0</v>
      </c>
      <c r="J373" s="10">
        <f t="shared" si="2"/>
        <v>-1593000</v>
      </c>
      <c r="K373" s="11">
        <f t="shared" si="3"/>
        <v>-1.5</v>
      </c>
      <c r="L373" s="3" t="str">
        <f t="shared" si="4"/>
        <v>Over Buffer</v>
      </c>
      <c r="M373" s="10">
        <f t="shared" si="5"/>
        <v>-1062000</v>
      </c>
      <c r="N373" s="3" t="str">
        <f t="shared" si="6"/>
        <v>Refund</v>
      </c>
      <c r="O373" s="3" t="str">
        <f t="shared" si="7"/>
        <v>N/A</v>
      </c>
      <c r="P373" s="3">
        <f t="shared" si="8"/>
        <v>0</v>
      </c>
      <c r="Q373" s="3">
        <f t="shared" si="9"/>
        <v>0</v>
      </c>
      <c r="R373" s="12">
        <f t="shared" si="10"/>
        <v>1</v>
      </c>
    </row>
    <row r="374">
      <c r="A374" s="3" t="s">
        <v>411</v>
      </c>
      <c r="B374" s="4">
        <v>46352.0</v>
      </c>
      <c r="C374" s="4" t="str">
        <f t="shared" si="1"/>
        <v>November</v>
      </c>
      <c r="D374" s="3" t="s">
        <v>25</v>
      </c>
      <c r="E374" s="3" t="s">
        <v>15</v>
      </c>
      <c r="F374" s="3" t="s">
        <v>42</v>
      </c>
      <c r="G374" s="3" t="str">
        <f>VLOOKUP(F374, 'KODE PESAWAT'!$A$2:$C$42, 3, FALSE)</f>
        <v>Vietnam Airlines Group</v>
      </c>
      <c r="H374" s="10">
        <v>1317000.0</v>
      </c>
      <c r="I374" s="10">
        <v>1514549.9999999998</v>
      </c>
      <c r="J374" s="10">
        <f t="shared" si="2"/>
        <v>-197550</v>
      </c>
      <c r="K374" s="11">
        <f t="shared" si="3"/>
        <v>-0.15</v>
      </c>
      <c r="L374" s="3" t="str">
        <f t="shared" si="4"/>
        <v>Fare Increase</v>
      </c>
      <c r="M374" s="10">
        <f t="shared" si="5"/>
        <v>197550</v>
      </c>
      <c r="N374" s="3" t="str">
        <f t="shared" si="6"/>
        <v>Issued</v>
      </c>
      <c r="O374" s="3" t="str">
        <f t="shared" si="7"/>
        <v>LOSS</v>
      </c>
      <c r="P374" s="3">
        <f t="shared" si="8"/>
        <v>1</v>
      </c>
      <c r="Q374" s="3">
        <f t="shared" si="9"/>
        <v>0</v>
      </c>
      <c r="R374" s="12">
        <f t="shared" si="10"/>
        <v>0</v>
      </c>
    </row>
    <row r="375">
      <c r="A375" s="3" t="s">
        <v>412</v>
      </c>
      <c r="B375" s="4">
        <v>46378.0</v>
      </c>
      <c r="C375" s="4" t="str">
        <f t="shared" si="1"/>
        <v>December</v>
      </c>
      <c r="D375" s="3" t="s">
        <v>14</v>
      </c>
      <c r="E375" s="3" t="s">
        <v>15</v>
      </c>
      <c r="F375" s="3" t="s">
        <v>37</v>
      </c>
      <c r="G375" s="3" t="str">
        <f>VLOOKUP(F375, 'KODE PESAWAT'!$A$2:$C$42, 3, FALSE)</f>
        <v>Lion Air Group</v>
      </c>
      <c r="H375" s="10">
        <v>5221000.0</v>
      </c>
      <c r="I375" s="10">
        <v>1.30525E7</v>
      </c>
      <c r="J375" s="10">
        <f t="shared" si="2"/>
        <v>-7831500</v>
      </c>
      <c r="K375" s="11">
        <f t="shared" si="3"/>
        <v>-1.5</v>
      </c>
      <c r="L375" s="3" t="str">
        <f t="shared" si="4"/>
        <v>Over Buffer</v>
      </c>
      <c r="M375" s="10">
        <f t="shared" si="5"/>
        <v>-5221000</v>
      </c>
      <c r="N375" s="3" t="str">
        <f t="shared" si="6"/>
        <v>Refund</v>
      </c>
      <c r="O375" s="3" t="str">
        <f t="shared" si="7"/>
        <v>N/A</v>
      </c>
      <c r="P375" s="3">
        <f t="shared" si="8"/>
        <v>0</v>
      </c>
      <c r="Q375" s="3">
        <f t="shared" si="9"/>
        <v>0</v>
      </c>
      <c r="R375" s="12">
        <f t="shared" si="10"/>
        <v>1</v>
      </c>
    </row>
    <row r="376">
      <c r="A376" s="3" t="s">
        <v>413</v>
      </c>
      <c r="B376" s="4">
        <v>46252.0</v>
      </c>
      <c r="C376" s="4" t="str">
        <f t="shared" si="1"/>
        <v>August</v>
      </c>
      <c r="D376" s="3" t="s">
        <v>30</v>
      </c>
      <c r="E376" s="3" t="s">
        <v>15</v>
      </c>
      <c r="F376" s="3" t="s">
        <v>268</v>
      </c>
      <c r="G376" s="3" t="str">
        <f>VLOOKUP(F376, 'KODE PESAWAT'!$A$2:$C$42, 3, FALSE)</f>
        <v>China Airlines Group</v>
      </c>
      <c r="H376" s="10">
        <v>9981000.0</v>
      </c>
      <c r="I376" s="10">
        <v>2.49525E7</v>
      </c>
      <c r="J376" s="10">
        <f t="shared" si="2"/>
        <v>-14971500</v>
      </c>
      <c r="K376" s="11">
        <f t="shared" si="3"/>
        <v>-1.5</v>
      </c>
      <c r="L376" s="3" t="str">
        <f t="shared" si="4"/>
        <v>Over Buffer</v>
      </c>
      <c r="M376" s="10">
        <f t="shared" si="5"/>
        <v>-9981000</v>
      </c>
      <c r="N376" s="3" t="str">
        <f t="shared" si="6"/>
        <v>Refund</v>
      </c>
      <c r="O376" s="3" t="str">
        <f t="shared" si="7"/>
        <v>N/A</v>
      </c>
      <c r="P376" s="3">
        <f t="shared" si="8"/>
        <v>0</v>
      </c>
      <c r="Q376" s="3">
        <f t="shared" si="9"/>
        <v>0</v>
      </c>
      <c r="R376" s="12">
        <f t="shared" si="10"/>
        <v>1</v>
      </c>
    </row>
    <row r="377">
      <c r="A377" s="3" t="s">
        <v>414</v>
      </c>
      <c r="B377" s="4">
        <v>46299.0</v>
      </c>
      <c r="C377" s="4" t="str">
        <f t="shared" si="1"/>
        <v>October</v>
      </c>
      <c r="D377" s="3" t="s">
        <v>10</v>
      </c>
      <c r="E377" s="3" t="s">
        <v>11</v>
      </c>
      <c r="F377" s="3" t="s">
        <v>35</v>
      </c>
      <c r="G377" s="3" t="str">
        <f>VLOOKUP(F377, 'KODE PESAWAT'!$A$2:$C$42, 3, FALSE)</f>
        <v>Lion Air Group</v>
      </c>
      <c r="H377" s="10">
        <v>947000.0</v>
      </c>
      <c r="I377" s="10">
        <v>1325800.0</v>
      </c>
      <c r="J377" s="10">
        <f t="shared" si="2"/>
        <v>-378800</v>
      </c>
      <c r="K377" s="11">
        <f t="shared" si="3"/>
        <v>-0.4</v>
      </c>
      <c r="L377" s="3" t="str">
        <f t="shared" si="4"/>
        <v>Fare Increase</v>
      </c>
      <c r="M377" s="10">
        <f t="shared" si="5"/>
        <v>378800</v>
      </c>
      <c r="N377" s="3" t="str">
        <f t="shared" si="6"/>
        <v>Issued</v>
      </c>
      <c r="O377" s="3" t="str">
        <f t="shared" si="7"/>
        <v>LOSS</v>
      </c>
      <c r="P377" s="3">
        <f t="shared" si="8"/>
        <v>1</v>
      </c>
      <c r="Q377" s="3">
        <f t="shared" si="9"/>
        <v>0</v>
      </c>
      <c r="R377" s="12">
        <f t="shared" si="10"/>
        <v>0</v>
      </c>
    </row>
    <row r="378">
      <c r="A378" s="3" t="s">
        <v>415</v>
      </c>
      <c r="B378" s="4">
        <v>46296.0</v>
      </c>
      <c r="C378" s="4" t="str">
        <f t="shared" si="1"/>
        <v>October</v>
      </c>
      <c r="D378" s="3" t="s">
        <v>23</v>
      </c>
      <c r="E378" s="3" t="s">
        <v>15</v>
      </c>
      <c r="F378" s="3" t="s">
        <v>19</v>
      </c>
      <c r="G378" s="3" t="str">
        <f>VLOOKUP(F378, 'KODE PESAWAT'!$A$2:$C$42, 3, FALSE)</f>
        <v>Lion Air Group</v>
      </c>
      <c r="H378" s="10">
        <v>1578000.0</v>
      </c>
      <c r="I378" s="10">
        <v>2209200.0</v>
      </c>
      <c r="J378" s="10">
        <f t="shared" si="2"/>
        <v>-631200</v>
      </c>
      <c r="K378" s="11">
        <f t="shared" si="3"/>
        <v>-0.4</v>
      </c>
      <c r="L378" s="3" t="str">
        <f t="shared" si="4"/>
        <v>Fare Increase</v>
      </c>
      <c r="M378" s="10">
        <f t="shared" si="5"/>
        <v>631200</v>
      </c>
      <c r="N378" s="3" t="str">
        <f t="shared" si="6"/>
        <v>Issued</v>
      </c>
      <c r="O378" s="3" t="str">
        <f t="shared" si="7"/>
        <v>LOSS</v>
      </c>
      <c r="P378" s="3">
        <f t="shared" si="8"/>
        <v>1</v>
      </c>
      <c r="Q378" s="3">
        <f t="shared" si="9"/>
        <v>0</v>
      </c>
      <c r="R378" s="12">
        <f t="shared" si="10"/>
        <v>0</v>
      </c>
    </row>
    <row r="379">
      <c r="A379" s="3" t="s">
        <v>416</v>
      </c>
      <c r="B379" s="4">
        <v>46333.0</v>
      </c>
      <c r="C379" s="4" t="str">
        <f t="shared" si="1"/>
        <v>November</v>
      </c>
      <c r="D379" s="3" t="s">
        <v>18</v>
      </c>
      <c r="E379" s="3" t="s">
        <v>11</v>
      </c>
      <c r="F379" s="3" t="s">
        <v>21</v>
      </c>
      <c r="G379" s="3" t="str">
        <f>VLOOKUP(F379, 'KODE PESAWAT'!$A$2:$C$42, 3, FALSE)</f>
        <v>Singapore Airlines Group</v>
      </c>
      <c r="H379" s="10">
        <v>1232000.0</v>
      </c>
      <c r="I379" s="10">
        <v>1170400.0</v>
      </c>
      <c r="J379" s="10">
        <f t="shared" si="2"/>
        <v>61600</v>
      </c>
      <c r="K379" s="11">
        <f t="shared" si="3"/>
        <v>0.05</v>
      </c>
      <c r="L379" s="3" t="str">
        <f t="shared" si="4"/>
        <v>Normal</v>
      </c>
      <c r="M379" s="10">
        <f t="shared" si="5"/>
        <v>-61600</v>
      </c>
      <c r="N379" s="3" t="str">
        <f t="shared" si="6"/>
        <v>Issued</v>
      </c>
      <c r="O379" s="3" t="str">
        <f t="shared" si="7"/>
        <v>PROFIT</v>
      </c>
      <c r="P379" s="3">
        <f t="shared" si="8"/>
        <v>1</v>
      </c>
      <c r="Q379" s="3">
        <f t="shared" si="9"/>
        <v>1</v>
      </c>
      <c r="R379" s="12">
        <f t="shared" si="10"/>
        <v>0</v>
      </c>
    </row>
    <row r="380">
      <c r="A380" s="3" t="s">
        <v>417</v>
      </c>
      <c r="B380" s="4">
        <v>46192.0</v>
      </c>
      <c r="C380" s="4" t="str">
        <f t="shared" si="1"/>
        <v>June</v>
      </c>
      <c r="D380" s="3" t="s">
        <v>14</v>
      </c>
      <c r="E380" s="3" t="s">
        <v>15</v>
      </c>
      <c r="F380" s="3" t="s">
        <v>16</v>
      </c>
      <c r="G380" s="3" t="str">
        <f>VLOOKUP(F380, 'KODE PESAWAT'!$A$2:$C$42, 3, FALSE)</f>
        <v>Thai Airways Group (Associate)</v>
      </c>
      <c r="H380" s="10">
        <v>1097000.0</v>
      </c>
      <c r="I380" s="10">
        <v>1261550.0</v>
      </c>
      <c r="J380" s="10">
        <f t="shared" si="2"/>
        <v>-164550</v>
      </c>
      <c r="K380" s="11">
        <f t="shared" si="3"/>
        <v>-0.15</v>
      </c>
      <c r="L380" s="3" t="str">
        <f t="shared" si="4"/>
        <v>Fare Increase</v>
      </c>
      <c r="M380" s="10">
        <f t="shared" si="5"/>
        <v>164550</v>
      </c>
      <c r="N380" s="3" t="str">
        <f t="shared" si="6"/>
        <v>Issued</v>
      </c>
      <c r="O380" s="3" t="str">
        <f t="shared" si="7"/>
        <v>LOSS</v>
      </c>
      <c r="P380" s="3">
        <f t="shared" si="8"/>
        <v>1</v>
      </c>
      <c r="Q380" s="3">
        <f t="shared" si="9"/>
        <v>0</v>
      </c>
      <c r="R380" s="12">
        <f t="shared" si="10"/>
        <v>0</v>
      </c>
    </row>
    <row r="381">
      <c r="A381" s="3" t="s">
        <v>418</v>
      </c>
      <c r="B381" s="4">
        <v>46129.0</v>
      </c>
      <c r="C381" s="4" t="str">
        <f t="shared" si="1"/>
        <v>April</v>
      </c>
      <c r="D381" s="3" t="s">
        <v>25</v>
      </c>
      <c r="E381" s="3" t="s">
        <v>15</v>
      </c>
      <c r="F381" s="3" t="s">
        <v>61</v>
      </c>
      <c r="G381" s="3" t="str">
        <f>VLOOKUP(F381, 'KODE PESAWAT'!$A$2:$C$42, 3, FALSE)</f>
        <v>Vietravel Group</v>
      </c>
      <c r="H381" s="10">
        <v>1.0481E7</v>
      </c>
      <c r="I381" s="10">
        <v>9956950.0</v>
      </c>
      <c r="J381" s="10">
        <f t="shared" si="2"/>
        <v>524050</v>
      </c>
      <c r="K381" s="11">
        <f t="shared" si="3"/>
        <v>0.05</v>
      </c>
      <c r="L381" s="3" t="str">
        <f t="shared" si="4"/>
        <v>Normal</v>
      </c>
      <c r="M381" s="10">
        <f t="shared" si="5"/>
        <v>-524050</v>
      </c>
      <c r="N381" s="3" t="str">
        <f t="shared" si="6"/>
        <v>Issued</v>
      </c>
      <c r="O381" s="3" t="str">
        <f t="shared" si="7"/>
        <v>PROFIT</v>
      </c>
      <c r="P381" s="3">
        <f t="shared" si="8"/>
        <v>1</v>
      </c>
      <c r="Q381" s="3">
        <f t="shared" si="9"/>
        <v>1</v>
      </c>
      <c r="R381" s="12">
        <f t="shared" si="10"/>
        <v>0</v>
      </c>
    </row>
    <row r="382">
      <c r="A382" s="3" t="s">
        <v>419</v>
      </c>
      <c r="B382" s="4">
        <v>46313.0</v>
      </c>
      <c r="C382" s="4" t="str">
        <f t="shared" si="1"/>
        <v>October</v>
      </c>
      <c r="D382" s="3" t="s">
        <v>14</v>
      </c>
      <c r="E382" s="3" t="s">
        <v>15</v>
      </c>
      <c r="F382" s="3" t="s">
        <v>16</v>
      </c>
      <c r="G382" s="3" t="str">
        <f>VLOOKUP(F382, 'KODE PESAWAT'!$A$2:$C$42, 3, FALSE)</f>
        <v>Thai Airways Group (Associate)</v>
      </c>
      <c r="H382" s="10">
        <v>905000.0</v>
      </c>
      <c r="I382" s="10">
        <v>2262500.0</v>
      </c>
      <c r="J382" s="10">
        <f t="shared" si="2"/>
        <v>-1357500</v>
      </c>
      <c r="K382" s="11">
        <f t="shared" si="3"/>
        <v>-1.5</v>
      </c>
      <c r="L382" s="3" t="str">
        <f t="shared" si="4"/>
        <v>Over Buffer</v>
      </c>
      <c r="M382" s="10">
        <f t="shared" si="5"/>
        <v>-905000</v>
      </c>
      <c r="N382" s="3" t="str">
        <f t="shared" si="6"/>
        <v>Refund</v>
      </c>
      <c r="O382" s="3" t="str">
        <f t="shared" si="7"/>
        <v>N/A</v>
      </c>
      <c r="P382" s="3">
        <f t="shared" si="8"/>
        <v>0</v>
      </c>
      <c r="Q382" s="3">
        <f t="shared" si="9"/>
        <v>0</v>
      </c>
      <c r="R382" s="12">
        <f t="shared" si="10"/>
        <v>1</v>
      </c>
    </row>
    <row r="383">
      <c r="A383" s="3" t="s">
        <v>420</v>
      </c>
      <c r="B383" s="4">
        <v>46148.0</v>
      </c>
      <c r="C383" s="4" t="str">
        <f t="shared" si="1"/>
        <v>May</v>
      </c>
      <c r="D383" s="3" t="s">
        <v>30</v>
      </c>
      <c r="E383" s="3" t="s">
        <v>15</v>
      </c>
      <c r="F383" s="3" t="s">
        <v>421</v>
      </c>
      <c r="G383" s="3" t="str">
        <f>VLOOKUP(F383, 'KODE PESAWAT'!$A$2:$C$42, 3, FALSE)</f>
        <v>AirAsia Group</v>
      </c>
      <c r="H383" s="10">
        <v>1872000.0</v>
      </c>
      <c r="I383" s="10">
        <v>2620800.0</v>
      </c>
      <c r="J383" s="10">
        <f t="shared" si="2"/>
        <v>-748800</v>
      </c>
      <c r="K383" s="11">
        <f t="shared" si="3"/>
        <v>-0.4</v>
      </c>
      <c r="L383" s="3" t="str">
        <f t="shared" si="4"/>
        <v>Fare Increase</v>
      </c>
      <c r="M383" s="10">
        <f t="shared" si="5"/>
        <v>748800</v>
      </c>
      <c r="N383" s="3" t="str">
        <f t="shared" si="6"/>
        <v>Issued</v>
      </c>
      <c r="O383" s="3" t="str">
        <f t="shared" si="7"/>
        <v>LOSS</v>
      </c>
      <c r="P383" s="3">
        <f t="shared" si="8"/>
        <v>1</v>
      </c>
      <c r="Q383" s="3">
        <f t="shared" si="9"/>
        <v>0</v>
      </c>
      <c r="R383" s="12">
        <f t="shared" si="10"/>
        <v>0</v>
      </c>
    </row>
    <row r="384">
      <c r="A384" s="3" t="s">
        <v>422</v>
      </c>
      <c r="B384" s="4">
        <v>46318.0</v>
      </c>
      <c r="C384" s="4" t="str">
        <f t="shared" si="1"/>
        <v>October</v>
      </c>
      <c r="D384" s="3" t="s">
        <v>14</v>
      </c>
      <c r="E384" s="3" t="s">
        <v>15</v>
      </c>
      <c r="F384" s="3" t="s">
        <v>37</v>
      </c>
      <c r="G384" s="3" t="str">
        <f>VLOOKUP(F384, 'KODE PESAWAT'!$A$2:$C$42, 3, FALSE)</f>
        <v>Lion Air Group</v>
      </c>
      <c r="H384" s="10">
        <v>732000.0</v>
      </c>
      <c r="I384" s="10">
        <v>695400.0</v>
      </c>
      <c r="J384" s="10">
        <f t="shared" si="2"/>
        <v>36600</v>
      </c>
      <c r="K384" s="11">
        <f t="shared" si="3"/>
        <v>0.05</v>
      </c>
      <c r="L384" s="3" t="str">
        <f t="shared" si="4"/>
        <v>Normal</v>
      </c>
      <c r="M384" s="10">
        <f t="shared" si="5"/>
        <v>-36600</v>
      </c>
      <c r="N384" s="3" t="str">
        <f t="shared" si="6"/>
        <v>Issued</v>
      </c>
      <c r="O384" s="3" t="str">
        <f t="shared" si="7"/>
        <v>PROFIT</v>
      </c>
      <c r="P384" s="3">
        <f t="shared" si="8"/>
        <v>1</v>
      </c>
      <c r="Q384" s="3">
        <f t="shared" si="9"/>
        <v>1</v>
      </c>
      <c r="R384" s="12">
        <f t="shared" si="10"/>
        <v>0</v>
      </c>
    </row>
    <row r="385">
      <c r="A385" s="3" t="s">
        <v>423</v>
      </c>
      <c r="B385" s="4">
        <v>46342.0</v>
      </c>
      <c r="C385" s="4" t="str">
        <f t="shared" si="1"/>
        <v>November</v>
      </c>
      <c r="D385" s="3" t="s">
        <v>23</v>
      </c>
      <c r="E385" s="3" t="s">
        <v>15</v>
      </c>
      <c r="F385" s="3" t="s">
        <v>31</v>
      </c>
      <c r="G385" s="3" t="str">
        <f>VLOOKUP(F385, 'KODE PESAWAT'!$A$2:$C$42, 3, FALSE)</f>
        <v>Garuda Indonesia Group</v>
      </c>
      <c r="H385" s="10">
        <v>475000.0</v>
      </c>
      <c r="I385" s="10">
        <v>665000.0</v>
      </c>
      <c r="J385" s="10">
        <f t="shared" si="2"/>
        <v>-190000</v>
      </c>
      <c r="K385" s="11">
        <f t="shared" si="3"/>
        <v>-0.4</v>
      </c>
      <c r="L385" s="3" t="str">
        <f t="shared" si="4"/>
        <v>Fare Increase</v>
      </c>
      <c r="M385" s="10">
        <f t="shared" si="5"/>
        <v>190000</v>
      </c>
      <c r="N385" s="3" t="str">
        <f t="shared" si="6"/>
        <v>Issued</v>
      </c>
      <c r="O385" s="3" t="str">
        <f t="shared" si="7"/>
        <v>LOSS</v>
      </c>
      <c r="P385" s="3">
        <f t="shared" si="8"/>
        <v>1</v>
      </c>
      <c r="Q385" s="3">
        <f t="shared" si="9"/>
        <v>0</v>
      </c>
      <c r="R385" s="12">
        <f t="shared" si="10"/>
        <v>0</v>
      </c>
    </row>
    <row r="386">
      <c r="A386" s="3" t="s">
        <v>424</v>
      </c>
      <c r="B386" s="4">
        <v>46121.0</v>
      </c>
      <c r="C386" s="4" t="str">
        <f t="shared" si="1"/>
        <v>April</v>
      </c>
      <c r="D386" s="3" t="s">
        <v>18</v>
      </c>
      <c r="E386" s="3" t="s">
        <v>11</v>
      </c>
      <c r="F386" s="3" t="s">
        <v>19</v>
      </c>
      <c r="G386" s="3" t="str">
        <f>VLOOKUP(F386, 'KODE PESAWAT'!$A$2:$C$42, 3, FALSE)</f>
        <v>Lion Air Group</v>
      </c>
      <c r="H386" s="10">
        <v>650000.0</v>
      </c>
      <c r="I386" s="10">
        <v>1625000.0</v>
      </c>
      <c r="J386" s="10">
        <f t="shared" si="2"/>
        <v>-975000</v>
      </c>
      <c r="K386" s="11">
        <f t="shared" si="3"/>
        <v>-1.5</v>
      </c>
      <c r="L386" s="3" t="str">
        <f t="shared" si="4"/>
        <v>Over Buffer</v>
      </c>
      <c r="M386" s="10">
        <f t="shared" si="5"/>
        <v>-650000</v>
      </c>
      <c r="N386" s="3" t="str">
        <f t="shared" si="6"/>
        <v>Refund</v>
      </c>
      <c r="O386" s="3" t="str">
        <f t="shared" si="7"/>
        <v>N/A</v>
      </c>
      <c r="P386" s="3">
        <f t="shared" si="8"/>
        <v>0</v>
      </c>
      <c r="Q386" s="3">
        <f t="shared" si="9"/>
        <v>0</v>
      </c>
      <c r="R386" s="12">
        <f t="shared" si="10"/>
        <v>1</v>
      </c>
    </row>
    <row r="387">
      <c r="A387" s="3" t="s">
        <v>425</v>
      </c>
      <c r="B387" s="4">
        <v>46297.0</v>
      </c>
      <c r="C387" s="4" t="str">
        <f t="shared" si="1"/>
        <v>October</v>
      </c>
      <c r="D387" s="3" t="s">
        <v>10</v>
      </c>
      <c r="E387" s="3" t="s">
        <v>11</v>
      </c>
      <c r="F387" s="3" t="s">
        <v>35</v>
      </c>
      <c r="G387" s="3" t="str">
        <f>VLOOKUP(F387, 'KODE PESAWAT'!$A$2:$C$42, 3, FALSE)</f>
        <v>Lion Air Group</v>
      </c>
      <c r="H387" s="10">
        <v>2324000.0</v>
      </c>
      <c r="I387" s="10">
        <v>2672600.0</v>
      </c>
      <c r="J387" s="10">
        <f t="shared" si="2"/>
        <v>-348600</v>
      </c>
      <c r="K387" s="11">
        <f t="shared" si="3"/>
        <v>-0.15</v>
      </c>
      <c r="L387" s="3" t="str">
        <f t="shared" si="4"/>
        <v>Fare Increase</v>
      </c>
      <c r="M387" s="10">
        <f t="shared" si="5"/>
        <v>348600</v>
      </c>
      <c r="N387" s="3" t="str">
        <f t="shared" si="6"/>
        <v>Issued</v>
      </c>
      <c r="O387" s="3" t="str">
        <f t="shared" si="7"/>
        <v>LOSS</v>
      </c>
      <c r="P387" s="3">
        <f t="shared" si="8"/>
        <v>1</v>
      </c>
      <c r="Q387" s="3">
        <f t="shared" si="9"/>
        <v>0</v>
      </c>
      <c r="R387" s="12">
        <f t="shared" si="10"/>
        <v>0</v>
      </c>
    </row>
    <row r="388">
      <c r="A388" s="3" t="s">
        <v>426</v>
      </c>
      <c r="B388" s="4">
        <v>46057.0</v>
      </c>
      <c r="C388" s="4" t="str">
        <f t="shared" si="1"/>
        <v>February</v>
      </c>
      <c r="D388" s="3" t="s">
        <v>30</v>
      </c>
      <c r="E388" s="3" t="s">
        <v>15</v>
      </c>
      <c r="F388" s="3" t="s">
        <v>49</v>
      </c>
      <c r="G388" s="3" t="str">
        <f>VLOOKUP(F388, 'KODE PESAWAT'!$A$2:$C$42, 3, FALSE)</f>
        <v>AirAsia Group</v>
      </c>
      <c r="H388" s="10">
        <v>1.2803E7</v>
      </c>
      <c r="I388" s="10">
        <v>1.79242E7</v>
      </c>
      <c r="J388" s="10">
        <f t="shared" si="2"/>
        <v>-5121200</v>
      </c>
      <c r="K388" s="11">
        <f t="shared" si="3"/>
        <v>-0.4</v>
      </c>
      <c r="L388" s="3" t="str">
        <f t="shared" si="4"/>
        <v>Fare Increase</v>
      </c>
      <c r="M388" s="10">
        <f t="shared" si="5"/>
        <v>5121200</v>
      </c>
      <c r="N388" s="3" t="str">
        <f t="shared" si="6"/>
        <v>Issued</v>
      </c>
      <c r="O388" s="3" t="str">
        <f t="shared" si="7"/>
        <v>LOSS</v>
      </c>
      <c r="P388" s="3">
        <f t="shared" si="8"/>
        <v>1</v>
      </c>
      <c r="Q388" s="3">
        <f t="shared" si="9"/>
        <v>0</v>
      </c>
      <c r="R388" s="12">
        <f t="shared" si="10"/>
        <v>0</v>
      </c>
    </row>
    <row r="389">
      <c r="A389" s="3" t="s">
        <v>427</v>
      </c>
      <c r="B389" s="4">
        <v>46281.0</v>
      </c>
      <c r="C389" s="4" t="str">
        <f t="shared" si="1"/>
        <v>September</v>
      </c>
      <c r="D389" s="3" t="s">
        <v>30</v>
      </c>
      <c r="E389" s="3" t="s">
        <v>15</v>
      </c>
      <c r="F389" s="3" t="s">
        <v>33</v>
      </c>
      <c r="G389" s="3" t="str">
        <f>VLOOKUP(F389, 'KODE PESAWAT'!$A$2:$C$42, 3, FALSE)</f>
        <v>Garuda Indonesia Group</v>
      </c>
      <c r="H389" s="10">
        <v>560000.0</v>
      </c>
      <c r="I389" s="10">
        <v>1400000.0</v>
      </c>
      <c r="J389" s="10">
        <f t="shared" si="2"/>
        <v>-840000</v>
      </c>
      <c r="K389" s="11">
        <f t="shared" si="3"/>
        <v>-1.5</v>
      </c>
      <c r="L389" s="3" t="str">
        <f t="shared" si="4"/>
        <v>Over Buffer</v>
      </c>
      <c r="M389" s="10">
        <f t="shared" si="5"/>
        <v>-560000</v>
      </c>
      <c r="N389" s="3" t="str">
        <f t="shared" si="6"/>
        <v>Refund</v>
      </c>
      <c r="O389" s="3" t="str">
        <f t="shared" si="7"/>
        <v>N/A</v>
      </c>
      <c r="P389" s="3">
        <f t="shared" si="8"/>
        <v>0</v>
      </c>
      <c r="Q389" s="3">
        <f t="shared" si="9"/>
        <v>0</v>
      </c>
      <c r="R389" s="12">
        <f t="shared" si="10"/>
        <v>1</v>
      </c>
    </row>
    <row r="390">
      <c r="A390" s="3" t="s">
        <v>428</v>
      </c>
      <c r="B390" s="4">
        <v>46229.0</v>
      </c>
      <c r="C390" s="4" t="str">
        <f t="shared" si="1"/>
        <v>July</v>
      </c>
      <c r="D390" s="3" t="s">
        <v>14</v>
      </c>
      <c r="E390" s="3" t="s">
        <v>15</v>
      </c>
      <c r="F390" s="3" t="s">
        <v>16</v>
      </c>
      <c r="G390" s="3" t="str">
        <f>VLOOKUP(F390, 'KODE PESAWAT'!$A$2:$C$42, 3, FALSE)</f>
        <v>Thai Airways Group (Associate)</v>
      </c>
      <c r="H390" s="10">
        <v>1207000.0</v>
      </c>
      <c r="I390" s="10">
        <v>1388050.0</v>
      </c>
      <c r="J390" s="10">
        <f t="shared" si="2"/>
        <v>-181050</v>
      </c>
      <c r="K390" s="11">
        <f t="shared" si="3"/>
        <v>-0.15</v>
      </c>
      <c r="L390" s="3" t="str">
        <f t="shared" si="4"/>
        <v>Fare Increase</v>
      </c>
      <c r="M390" s="10">
        <f t="shared" si="5"/>
        <v>181050</v>
      </c>
      <c r="N390" s="3" t="str">
        <f t="shared" si="6"/>
        <v>Issued</v>
      </c>
      <c r="O390" s="3" t="str">
        <f t="shared" si="7"/>
        <v>LOSS</v>
      </c>
      <c r="P390" s="3">
        <f t="shared" si="8"/>
        <v>1</v>
      </c>
      <c r="Q390" s="3">
        <f t="shared" si="9"/>
        <v>0</v>
      </c>
      <c r="R390" s="12">
        <f t="shared" si="10"/>
        <v>0</v>
      </c>
    </row>
    <row r="391">
      <c r="A391" s="3" t="s">
        <v>429</v>
      </c>
      <c r="B391" s="4">
        <v>46215.0</v>
      </c>
      <c r="C391" s="4" t="str">
        <f t="shared" si="1"/>
        <v>July</v>
      </c>
      <c r="D391" s="3" t="s">
        <v>23</v>
      </c>
      <c r="E391" s="3" t="s">
        <v>15</v>
      </c>
      <c r="F391" s="3" t="s">
        <v>31</v>
      </c>
      <c r="G391" s="3" t="str">
        <f>VLOOKUP(F391, 'KODE PESAWAT'!$A$2:$C$42, 3, FALSE)</f>
        <v>Garuda Indonesia Group</v>
      </c>
      <c r="H391" s="10">
        <v>1218000.0</v>
      </c>
      <c r="I391" s="10">
        <v>1157100.0</v>
      </c>
      <c r="J391" s="10">
        <f t="shared" si="2"/>
        <v>60900</v>
      </c>
      <c r="K391" s="11">
        <f t="shared" si="3"/>
        <v>0.05</v>
      </c>
      <c r="L391" s="3" t="str">
        <f t="shared" si="4"/>
        <v>Normal</v>
      </c>
      <c r="M391" s="10">
        <f t="shared" si="5"/>
        <v>-60900</v>
      </c>
      <c r="N391" s="3" t="str">
        <f t="shared" si="6"/>
        <v>Issued</v>
      </c>
      <c r="O391" s="3" t="str">
        <f t="shared" si="7"/>
        <v>PROFIT</v>
      </c>
      <c r="P391" s="3">
        <f t="shared" si="8"/>
        <v>1</v>
      </c>
      <c r="Q391" s="3">
        <f t="shared" si="9"/>
        <v>1</v>
      </c>
      <c r="R391" s="12">
        <f t="shared" si="10"/>
        <v>0</v>
      </c>
    </row>
    <row r="392">
      <c r="A392" s="3" t="s">
        <v>430</v>
      </c>
      <c r="B392" s="4">
        <v>46181.0</v>
      </c>
      <c r="C392" s="4" t="str">
        <f t="shared" si="1"/>
        <v>June</v>
      </c>
      <c r="D392" s="3" t="s">
        <v>25</v>
      </c>
      <c r="E392" s="3" t="s">
        <v>15</v>
      </c>
      <c r="F392" s="3" t="s">
        <v>116</v>
      </c>
      <c r="G392" s="3" t="str">
        <f>VLOOKUP(F392, 'KODE PESAWAT'!$A$2:$C$42, 3, FALSE)</f>
        <v>VietJet Group</v>
      </c>
      <c r="H392" s="10">
        <v>1107000.0</v>
      </c>
      <c r="I392" s="10">
        <v>2767500.0</v>
      </c>
      <c r="J392" s="10">
        <f t="shared" si="2"/>
        <v>-1660500</v>
      </c>
      <c r="K392" s="11">
        <f t="shared" si="3"/>
        <v>-1.5</v>
      </c>
      <c r="L392" s="3" t="str">
        <f t="shared" si="4"/>
        <v>Over Buffer</v>
      </c>
      <c r="M392" s="10">
        <f t="shared" si="5"/>
        <v>-1107000</v>
      </c>
      <c r="N392" s="3" t="str">
        <f t="shared" si="6"/>
        <v>Refund</v>
      </c>
      <c r="O392" s="3" t="str">
        <f t="shared" si="7"/>
        <v>N/A</v>
      </c>
      <c r="P392" s="3">
        <f t="shared" si="8"/>
        <v>0</v>
      </c>
      <c r="Q392" s="3">
        <f t="shared" si="9"/>
        <v>0</v>
      </c>
      <c r="R392" s="12">
        <f t="shared" si="10"/>
        <v>1</v>
      </c>
    </row>
    <row r="393">
      <c r="A393" s="3" t="s">
        <v>431</v>
      </c>
      <c r="B393" s="4">
        <v>46379.0</v>
      </c>
      <c r="C393" s="4" t="str">
        <f t="shared" si="1"/>
        <v>December</v>
      </c>
      <c r="D393" s="3" t="s">
        <v>10</v>
      </c>
      <c r="E393" s="3" t="s">
        <v>11</v>
      </c>
      <c r="F393" s="3" t="s">
        <v>35</v>
      </c>
      <c r="G393" s="3" t="str">
        <f>VLOOKUP(F393, 'KODE PESAWAT'!$A$2:$C$42, 3, FALSE)</f>
        <v>Lion Air Group</v>
      </c>
      <c r="H393" s="10">
        <v>984000.0</v>
      </c>
      <c r="I393" s="10">
        <v>934800.0</v>
      </c>
      <c r="J393" s="10">
        <f t="shared" si="2"/>
        <v>49200</v>
      </c>
      <c r="K393" s="11">
        <f t="shared" si="3"/>
        <v>0.05</v>
      </c>
      <c r="L393" s="3" t="str">
        <f t="shared" si="4"/>
        <v>Normal</v>
      </c>
      <c r="M393" s="10">
        <f t="shared" si="5"/>
        <v>-49200</v>
      </c>
      <c r="N393" s="3" t="str">
        <f t="shared" si="6"/>
        <v>Issued</v>
      </c>
      <c r="O393" s="3" t="str">
        <f t="shared" si="7"/>
        <v>PROFIT</v>
      </c>
      <c r="P393" s="3">
        <f t="shared" si="8"/>
        <v>1</v>
      </c>
      <c r="Q393" s="3">
        <f t="shared" si="9"/>
        <v>1</v>
      </c>
      <c r="R393" s="12">
        <f t="shared" si="10"/>
        <v>0</v>
      </c>
    </row>
    <row r="394">
      <c r="A394" s="3" t="s">
        <v>432</v>
      </c>
      <c r="B394" s="4">
        <v>46302.0</v>
      </c>
      <c r="C394" s="4" t="str">
        <f t="shared" si="1"/>
        <v>October</v>
      </c>
      <c r="D394" s="3" t="s">
        <v>10</v>
      </c>
      <c r="E394" s="3" t="s">
        <v>11</v>
      </c>
      <c r="F394" s="3" t="s">
        <v>63</v>
      </c>
      <c r="G394" s="3" t="str">
        <f>VLOOKUP(F394, 'KODE PESAWAT'!$A$2:$C$42, 3, FALSE)</f>
        <v>Lion Air Group</v>
      </c>
      <c r="H394" s="10">
        <v>1.1537E7</v>
      </c>
      <c r="I394" s="10">
        <v>1.6151799999999998E7</v>
      </c>
      <c r="J394" s="10">
        <f t="shared" si="2"/>
        <v>-4614800</v>
      </c>
      <c r="K394" s="11">
        <f t="shared" si="3"/>
        <v>-0.4</v>
      </c>
      <c r="L394" s="3" t="str">
        <f t="shared" si="4"/>
        <v>Fare Increase</v>
      </c>
      <c r="M394" s="10">
        <f t="shared" si="5"/>
        <v>4614800</v>
      </c>
      <c r="N394" s="3" t="str">
        <f t="shared" si="6"/>
        <v>Issued</v>
      </c>
      <c r="O394" s="3" t="str">
        <f t="shared" si="7"/>
        <v>LOSS</v>
      </c>
      <c r="P394" s="3">
        <f t="shared" si="8"/>
        <v>1</v>
      </c>
      <c r="Q394" s="3">
        <f t="shared" si="9"/>
        <v>0</v>
      </c>
      <c r="R394" s="12">
        <f t="shared" si="10"/>
        <v>0</v>
      </c>
    </row>
    <row r="395">
      <c r="A395" s="3" t="s">
        <v>433</v>
      </c>
      <c r="B395" s="4">
        <v>46369.0</v>
      </c>
      <c r="C395" s="4" t="str">
        <f t="shared" si="1"/>
        <v>December</v>
      </c>
      <c r="D395" s="3" t="s">
        <v>18</v>
      </c>
      <c r="E395" s="3" t="s">
        <v>11</v>
      </c>
      <c r="F395" s="3" t="s">
        <v>19</v>
      </c>
      <c r="G395" s="3" t="str">
        <f>VLOOKUP(F395, 'KODE PESAWAT'!$A$2:$C$42, 3, FALSE)</f>
        <v>Lion Air Group</v>
      </c>
      <c r="H395" s="10">
        <v>1268000.0</v>
      </c>
      <c r="I395" s="10">
        <v>1775200.0</v>
      </c>
      <c r="J395" s="10">
        <f t="shared" si="2"/>
        <v>-507200</v>
      </c>
      <c r="K395" s="11">
        <f t="shared" si="3"/>
        <v>-0.4</v>
      </c>
      <c r="L395" s="3" t="str">
        <f t="shared" si="4"/>
        <v>Fare Increase</v>
      </c>
      <c r="M395" s="10">
        <f t="shared" si="5"/>
        <v>507200</v>
      </c>
      <c r="N395" s="3" t="str">
        <f t="shared" si="6"/>
        <v>Issued</v>
      </c>
      <c r="O395" s="3" t="str">
        <f t="shared" si="7"/>
        <v>LOSS</v>
      </c>
      <c r="P395" s="3">
        <f t="shared" si="8"/>
        <v>1</v>
      </c>
      <c r="Q395" s="3">
        <f t="shared" si="9"/>
        <v>0</v>
      </c>
      <c r="R395" s="12">
        <f t="shared" si="10"/>
        <v>0</v>
      </c>
    </row>
    <row r="396">
      <c r="A396" s="3" t="s">
        <v>434</v>
      </c>
      <c r="B396" s="4">
        <v>46167.0</v>
      </c>
      <c r="C396" s="4" t="str">
        <f t="shared" si="1"/>
        <v>May</v>
      </c>
      <c r="D396" s="3" t="s">
        <v>23</v>
      </c>
      <c r="E396" s="3" t="s">
        <v>15</v>
      </c>
      <c r="F396" s="3" t="s">
        <v>19</v>
      </c>
      <c r="G396" s="3" t="str">
        <f>VLOOKUP(F396, 'KODE PESAWAT'!$A$2:$C$42, 3, FALSE)</f>
        <v>Lion Air Group</v>
      </c>
      <c r="H396" s="10">
        <v>820000.0</v>
      </c>
      <c r="I396" s="10">
        <v>1148000.0</v>
      </c>
      <c r="J396" s="10">
        <f t="shared" si="2"/>
        <v>-328000</v>
      </c>
      <c r="K396" s="11">
        <f t="shared" si="3"/>
        <v>-0.4</v>
      </c>
      <c r="L396" s="3" t="str">
        <f t="shared" si="4"/>
        <v>Fare Increase</v>
      </c>
      <c r="M396" s="10">
        <f t="shared" si="5"/>
        <v>328000</v>
      </c>
      <c r="N396" s="3" t="str">
        <f t="shared" si="6"/>
        <v>Issued</v>
      </c>
      <c r="O396" s="3" t="str">
        <f t="shared" si="7"/>
        <v>LOSS</v>
      </c>
      <c r="P396" s="3">
        <f t="shared" si="8"/>
        <v>1</v>
      </c>
      <c r="Q396" s="3">
        <f t="shared" si="9"/>
        <v>0</v>
      </c>
      <c r="R396" s="12">
        <f t="shared" si="10"/>
        <v>0</v>
      </c>
    </row>
    <row r="397">
      <c r="A397" s="3" t="s">
        <v>435</v>
      </c>
      <c r="B397" s="4">
        <v>46252.0</v>
      </c>
      <c r="C397" s="4" t="str">
        <f t="shared" si="1"/>
        <v>August</v>
      </c>
      <c r="D397" s="3" t="s">
        <v>23</v>
      </c>
      <c r="E397" s="3" t="s">
        <v>15</v>
      </c>
      <c r="F397" s="3" t="s">
        <v>33</v>
      </c>
      <c r="G397" s="3" t="str">
        <f>VLOOKUP(F397, 'KODE PESAWAT'!$A$2:$C$42, 3, FALSE)</f>
        <v>Garuda Indonesia Group</v>
      </c>
      <c r="H397" s="10">
        <v>1166000.0</v>
      </c>
      <c r="I397" s="10">
        <v>1632400.0</v>
      </c>
      <c r="J397" s="10">
        <f t="shared" si="2"/>
        <v>-466400</v>
      </c>
      <c r="K397" s="11">
        <f t="shared" si="3"/>
        <v>-0.4</v>
      </c>
      <c r="L397" s="3" t="str">
        <f t="shared" si="4"/>
        <v>Fare Increase</v>
      </c>
      <c r="M397" s="10">
        <f t="shared" si="5"/>
        <v>466400</v>
      </c>
      <c r="N397" s="3" t="str">
        <f t="shared" si="6"/>
        <v>Issued</v>
      </c>
      <c r="O397" s="3" t="str">
        <f t="shared" si="7"/>
        <v>LOSS</v>
      </c>
      <c r="P397" s="3">
        <f t="shared" si="8"/>
        <v>1</v>
      </c>
      <c r="Q397" s="3">
        <f t="shared" si="9"/>
        <v>0</v>
      </c>
      <c r="R397" s="12">
        <f t="shared" si="10"/>
        <v>0</v>
      </c>
    </row>
    <row r="398">
      <c r="A398" s="3" t="s">
        <v>436</v>
      </c>
      <c r="B398" s="4">
        <v>46381.0</v>
      </c>
      <c r="C398" s="4" t="str">
        <f t="shared" si="1"/>
        <v>December</v>
      </c>
      <c r="D398" s="3" t="s">
        <v>14</v>
      </c>
      <c r="E398" s="3" t="s">
        <v>15</v>
      </c>
      <c r="F398" s="3" t="s">
        <v>63</v>
      </c>
      <c r="G398" s="3" t="str">
        <f>VLOOKUP(F398, 'KODE PESAWAT'!$A$2:$C$42, 3, FALSE)</f>
        <v>Lion Air Group</v>
      </c>
      <c r="H398" s="10">
        <v>1499000.0</v>
      </c>
      <c r="I398" s="10">
        <v>1723849.9999999998</v>
      </c>
      <c r="J398" s="10">
        <f t="shared" si="2"/>
        <v>-224850</v>
      </c>
      <c r="K398" s="11">
        <f t="shared" si="3"/>
        <v>-0.15</v>
      </c>
      <c r="L398" s="3" t="str">
        <f t="shared" si="4"/>
        <v>Fare Increase</v>
      </c>
      <c r="M398" s="10">
        <f t="shared" si="5"/>
        <v>224850</v>
      </c>
      <c r="N398" s="3" t="str">
        <f t="shared" si="6"/>
        <v>Issued</v>
      </c>
      <c r="O398" s="3" t="str">
        <f t="shared" si="7"/>
        <v>LOSS</v>
      </c>
      <c r="P398" s="3">
        <f t="shared" si="8"/>
        <v>1</v>
      </c>
      <c r="Q398" s="3">
        <f t="shared" si="9"/>
        <v>0</v>
      </c>
      <c r="R398" s="12">
        <f t="shared" si="10"/>
        <v>0</v>
      </c>
    </row>
    <row r="399">
      <c r="A399" s="3" t="s">
        <v>437</v>
      </c>
      <c r="B399" s="4">
        <v>46138.0</v>
      </c>
      <c r="C399" s="4" t="str">
        <f t="shared" si="1"/>
        <v>April</v>
      </c>
      <c r="D399" s="3" t="s">
        <v>25</v>
      </c>
      <c r="E399" s="3" t="s">
        <v>15</v>
      </c>
      <c r="F399" s="3" t="s">
        <v>42</v>
      </c>
      <c r="G399" s="3" t="str">
        <f>VLOOKUP(F399, 'KODE PESAWAT'!$A$2:$C$42, 3, FALSE)</f>
        <v>Vietnam Airlines Group</v>
      </c>
      <c r="H399" s="10">
        <v>1.4865E7</v>
      </c>
      <c r="I399" s="10">
        <v>1.412175E7</v>
      </c>
      <c r="J399" s="10">
        <f t="shared" si="2"/>
        <v>743250</v>
      </c>
      <c r="K399" s="11">
        <f t="shared" si="3"/>
        <v>0.05</v>
      </c>
      <c r="L399" s="3" t="str">
        <f t="shared" si="4"/>
        <v>Normal</v>
      </c>
      <c r="M399" s="10">
        <f t="shared" si="5"/>
        <v>-743250</v>
      </c>
      <c r="N399" s="3" t="str">
        <f t="shared" si="6"/>
        <v>Issued</v>
      </c>
      <c r="O399" s="3" t="str">
        <f t="shared" si="7"/>
        <v>PROFIT</v>
      </c>
      <c r="P399" s="3">
        <f t="shared" si="8"/>
        <v>1</v>
      </c>
      <c r="Q399" s="3">
        <f t="shared" si="9"/>
        <v>1</v>
      </c>
      <c r="R399" s="12">
        <f t="shared" si="10"/>
        <v>0</v>
      </c>
    </row>
    <row r="400">
      <c r="A400" s="3" t="s">
        <v>438</v>
      </c>
      <c r="B400" s="4">
        <v>46248.0</v>
      </c>
      <c r="C400" s="4" t="str">
        <f t="shared" si="1"/>
        <v>August</v>
      </c>
      <c r="D400" s="3" t="s">
        <v>30</v>
      </c>
      <c r="E400" s="3" t="s">
        <v>15</v>
      </c>
      <c r="F400" s="3" t="s">
        <v>116</v>
      </c>
      <c r="G400" s="3" t="str">
        <f>VLOOKUP(F400, 'KODE PESAWAT'!$A$2:$C$42, 3, FALSE)</f>
        <v>VietJet Group</v>
      </c>
      <c r="H400" s="10">
        <v>989000.0</v>
      </c>
      <c r="I400" s="10">
        <v>1137350.0</v>
      </c>
      <c r="J400" s="10">
        <f t="shared" si="2"/>
        <v>-148350</v>
      </c>
      <c r="K400" s="11">
        <f t="shared" si="3"/>
        <v>-0.15</v>
      </c>
      <c r="L400" s="3" t="str">
        <f t="shared" si="4"/>
        <v>Fare Increase</v>
      </c>
      <c r="M400" s="10">
        <f t="shared" si="5"/>
        <v>148350</v>
      </c>
      <c r="N400" s="3" t="str">
        <f t="shared" si="6"/>
        <v>Issued</v>
      </c>
      <c r="O400" s="3" t="str">
        <f t="shared" si="7"/>
        <v>LOSS</v>
      </c>
      <c r="P400" s="3">
        <f t="shared" si="8"/>
        <v>1</v>
      </c>
      <c r="Q400" s="3">
        <f t="shared" si="9"/>
        <v>0</v>
      </c>
      <c r="R400" s="12">
        <f t="shared" si="10"/>
        <v>0</v>
      </c>
    </row>
    <row r="401">
      <c r="A401" s="3" t="s">
        <v>439</v>
      </c>
      <c r="B401" s="4">
        <v>46208.0</v>
      </c>
      <c r="C401" s="4" t="str">
        <f t="shared" si="1"/>
        <v>July</v>
      </c>
      <c r="D401" s="3" t="s">
        <v>18</v>
      </c>
      <c r="E401" s="3" t="s">
        <v>11</v>
      </c>
      <c r="F401" s="3" t="s">
        <v>35</v>
      </c>
      <c r="G401" s="3" t="str">
        <f>VLOOKUP(F401, 'KODE PESAWAT'!$A$2:$C$42, 3, FALSE)</f>
        <v>Lion Air Group</v>
      </c>
      <c r="H401" s="10">
        <v>4664000.0</v>
      </c>
      <c r="I401" s="10">
        <v>6529600.0</v>
      </c>
      <c r="J401" s="10">
        <f t="shared" si="2"/>
        <v>-1865600</v>
      </c>
      <c r="K401" s="11">
        <f t="shared" si="3"/>
        <v>-0.4</v>
      </c>
      <c r="L401" s="3" t="str">
        <f t="shared" si="4"/>
        <v>Fare Increase</v>
      </c>
      <c r="M401" s="10">
        <f t="shared" si="5"/>
        <v>1865600</v>
      </c>
      <c r="N401" s="3" t="str">
        <f t="shared" si="6"/>
        <v>Issued</v>
      </c>
      <c r="O401" s="3" t="str">
        <f t="shared" si="7"/>
        <v>LOSS</v>
      </c>
      <c r="P401" s="3">
        <f t="shared" si="8"/>
        <v>1</v>
      </c>
      <c r="Q401" s="3">
        <f t="shared" si="9"/>
        <v>0</v>
      </c>
      <c r="R401" s="12">
        <f t="shared" si="10"/>
        <v>0</v>
      </c>
    </row>
    <row r="402">
      <c r="A402" s="3" t="s">
        <v>440</v>
      </c>
      <c r="B402" s="4">
        <v>46331.0</v>
      </c>
      <c r="C402" s="4" t="str">
        <f t="shared" si="1"/>
        <v>November</v>
      </c>
      <c r="D402" s="3" t="s">
        <v>18</v>
      </c>
      <c r="E402" s="3" t="s">
        <v>11</v>
      </c>
      <c r="F402" s="3" t="s">
        <v>12</v>
      </c>
      <c r="G402" s="3" t="str">
        <f>VLOOKUP(F402, 'KODE PESAWAT'!$A$2:$C$42, 3, FALSE)</f>
        <v>AirAsia Group</v>
      </c>
      <c r="H402" s="10">
        <v>584000.0</v>
      </c>
      <c r="I402" s="10">
        <v>1460000.0</v>
      </c>
      <c r="J402" s="10">
        <f t="shared" si="2"/>
        <v>-876000</v>
      </c>
      <c r="K402" s="11">
        <f t="shared" si="3"/>
        <v>-1.5</v>
      </c>
      <c r="L402" s="3" t="str">
        <f t="shared" si="4"/>
        <v>Over Buffer</v>
      </c>
      <c r="M402" s="10">
        <f t="shared" si="5"/>
        <v>-584000</v>
      </c>
      <c r="N402" s="3" t="str">
        <f t="shared" si="6"/>
        <v>Refund</v>
      </c>
      <c r="O402" s="3" t="str">
        <f t="shared" si="7"/>
        <v>N/A</v>
      </c>
      <c r="P402" s="3">
        <f t="shared" si="8"/>
        <v>0</v>
      </c>
      <c r="Q402" s="3">
        <f t="shared" si="9"/>
        <v>0</v>
      </c>
      <c r="R402" s="12">
        <f t="shared" si="10"/>
        <v>1</v>
      </c>
    </row>
    <row r="403">
      <c r="A403" s="3" t="s">
        <v>441</v>
      </c>
      <c r="B403" s="4">
        <v>46066.0</v>
      </c>
      <c r="C403" s="4" t="str">
        <f t="shared" si="1"/>
        <v>February</v>
      </c>
      <c r="D403" s="3" t="s">
        <v>14</v>
      </c>
      <c r="E403" s="3" t="s">
        <v>15</v>
      </c>
      <c r="F403" s="3" t="s">
        <v>63</v>
      </c>
      <c r="G403" s="3" t="str">
        <f>VLOOKUP(F403, 'KODE PESAWAT'!$A$2:$C$42, 3, FALSE)</f>
        <v>Lion Air Group</v>
      </c>
      <c r="H403" s="10">
        <v>1408000.0</v>
      </c>
      <c r="I403" s="10">
        <v>3520000.0</v>
      </c>
      <c r="J403" s="10">
        <f t="shared" si="2"/>
        <v>-2112000</v>
      </c>
      <c r="K403" s="11">
        <f t="shared" si="3"/>
        <v>-1.5</v>
      </c>
      <c r="L403" s="3" t="str">
        <f t="shared" si="4"/>
        <v>Over Buffer</v>
      </c>
      <c r="M403" s="10">
        <f t="shared" si="5"/>
        <v>-1408000</v>
      </c>
      <c r="N403" s="3" t="str">
        <f t="shared" si="6"/>
        <v>Refund</v>
      </c>
      <c r="O403" s="3" t="str">
        <f t="shared" si="7"/>
        <v>N/A</v>
      </c>
      <c r="P403" s="3">
        <f t="shared" si="8"/>
        <v>0</v>
      </c>
      <c r="Q403" s="3">
        <f t="shared" si="9"/>
        <v>0</v>
      </c>
      <c r="R403" s="12">
        <f t="shared" si="10"/>
        <v>1</v>
      </c>
    </row>
    <row r="404">
      <c r="A404" s="3" t="s">
        <v>442</v>
      </c>
      <c r="B404" s="4">
        <v>46113.0</v>
      </c>
      <c r="C404" s="4" t="str">
        <f t="shared" si="1"/>
        <v>April</v>
      </c>
      <c r="D404" s="3" t="s">
        <v>14</v>
      </c>
      <c r="E404" s="3" t="s">
        <v>15</v>
      </c>
      <c r="F404" s="3" t="s">
        <v>37</v>
      </c>
      <c r="G404" s="3" t="str">
        <f>VLOOKUP(F404, 'KODE PESAWAT'!$A$2:$C$42, 3, FALSE)</f>
        <v>Lion Air Group</v>
      </c>
      <c r="H404" s="10">
        <v>2698000.0</v>
      </c>
      <c r="I404" s="10">
        <v>3777199.9999999995</v>
      </c>
      <c r="J404" s="10">
        <f t="shared" si="2"/>
        <v>-1079200</v>
      </c>
      <c r="K404" s="11">
        <f t="shared" si="3"/>
        <v>-0.4</v>
      </c>
      <c r="L404" s="3" t="str">
        <f t="shared" si="4"/>
        <v>Fare Increase</v>
      </c>
      <c r="M404" s="10">
        <f t="shared" si="5"/>
        <v>1079200</v>
      </c>
      <c r="N404" s="3" t="str">
        <f t="shared" si="6"/>
        <v>Issued</v>
      </c>
      <c r="O404" s="3" t="str">
        <f t="shared" si="7"/>
        <v>LOSS</v>
      </c>
      <c r="P404" s="3">
        <f t="shared" si="8"/>
        <v>1</v>
      </c>
      <c r="Q404" s="3">
        <f t="shared" si="9"/>
        <v>0</v>
      </c>
      <c r="R404" s="12">
        <f t="shared" si="10"/>
        <v>0</v>
      </c>
    </row>
    <row r="405">
      <c r="A405" s="3" t="s">
        <v>443</v>
      </c>
      <c r="B405" s="4">
        <v>46136.0</v>
      </c>
      <c r="C405" s="4" t="str">
        <f t="shared" si="1"/>
        <v>April</v>
      </c>
      <c r="D405" s="3" t="s">
        <v>14</v>
      </c>
      <c r="E405" s="3" t="s">
        <v>15</v>
      </c>
      <c r="F405" s="3" t="s">
        <v>16</v>
      </c>
      <c r="G405" s="3" t="str">
        <f>VLOOKUP(F405, 'KODE PESAWAT'!$A$2:$C$42, 3, FALSE)</f>
        <v>Thai Airways Group (Associate)</v>
      </c>
      <c r="H405" s="10">
        <v>964000.0</v>
      </c>
      <c r="I405" s="10">
        <v>1108600.0</v>
      </c>
      <c r="J405" s="10">
        <f t="shared" si="2"/>
        <v>-144600</v>
      </c>
      <c r="K405" s="11">
        <f t="shared" si="3"/>
        <v>-0.15</v>
      </c>
      <c r="L405" s="3" t="str">
        <f t="shared" si="4"/>
        <v>Fare Increase</v>
      </c>
      <c r="M405" s="10">
        <f t="shared" si="5"/>
        <v>144600</v>
      </c>
      <c r="N405" s="3" t="str">
        <f t="shared" si="6"/>
        <v>Issued</v>
      </c>
      <c r="O405" s="3" t="str">
        <f t="shared" si="7"/>
        <v>LOSS</v>
      </c>
      <c r="P405" s="3">
        <f t="shared" si="8"/>
        <v>1</v>
      </c>
      <c r="Q405" s="3">
        <f t="shared" si="9"/>
        <v>0</v>
      </c>
      <c r="R405" s="12">
        <f t="shared" si="10"/>
        <v>0</v>
      </c>
    </row>
    <row r="406">
      <c r="A406" s="3" t="s">
        <v>444</v>
      </c>
      <c r="B406" s="4">
        <v>46163.0</v>
      </c>
      <c r="C406" s="4" t="str">
        <f t="shared" si="1"/>
        <v>May</v>
      </c>
      <c r="D406" s="3" t="s">
        <v>14</v>
      </c>
      <c r="E406" s="3" t="s">
        <v>15</v>
      </c>
      <c r="F406" s="3" t="s">
        <v>63</v>
      </c>
      <c r="G406" s="3" t="str">
        <f>VLOOKUP(F406, 'KODE PESAWAT'!$A$2:$C$42, 3, FALSE)</f>
        <v>Lion Air Group</v>
      </c>
      <c r="H406" s="10">
        <v>1.4968E7</v>
      </c>
      <c r="I406" s="10">
        <v>1.42196E7</v>
      </c>
      <c r="J406" s="10">
        <f t="shared" si="2"/>
        <v>748400</v>
      </c>
      <c r="K406" s="11">
        <f t="shared" si="3"/>
        <v>0.05</v>
      </c>
      <c r="L406" s="3" t="str">
        <f t="shared" si="4"/>
        <v>Normal</v>
      </c>
      <c r="M406" s="10">
        <f t="shared" si="5"/>
        <v>-748400</v>
      </c>
      <c r="N406" s="3" t="str">
        <f t="shared" si="6"/>
        <v>Issued</v>
      </c>
      <c r="O406" s="3" t="str">
        <f t="shared" si="7"/>
        <v>PROFIT</v>
      </c>
      <c r="P406" s="3">
        <f t="shared" si="8"/>
        <v>1</v>
      </c>
      <c r="Q406" s="3">
        <f t="shared" si="9"/>
        <v>1</v>
      </c>
      <c r="R406" s="12">
        <f t="shared" si="10"/>
        <v>0</v>
      </c>
    </row>
    <row r="407">
      <c r="A407" s="3" t="s">
        <v>445</v>
      </c>
      <c r="B407" s="4">
        <v>46380.0</v>
      </c>
      <c r="C407" s="4" t="str">
        <f t="shared" si="1"/>
        <v>December</v>
      </c>
      <c r="D407" s="3" t="s">
        <v>10</v>
      </c>
      <c r="E407" s="3" t="s">
        <v>11</v>
      </c>
      <c r="F407" s="3" t="s">
        <v>19</v>
      </c>
      <c r="G407" s="3" t="str">
        <f>VLOOKUP(F407, 'KODE PESAWAT'!$A$2:$C$42, 3, FALSE)</f>
        <v>Lion Air Group</v>
      </c>
      <c r="H407" s="10">
        <v>3520000.0</v>
      </c>
      <c r="I407" s="10">
        <v>8800000.0</v>
      </c>
      <c r="J407" s="10">
        <f t="shared" si="2"/>
        <v>-5280000</v>
      </c>
      <c r="K407" s="11">
        <f t="shared" si="3"/>
        <v>-1.5</v>
      </c>
      <c r="L407" s="3" t="str">
        <f t="shared" si="4"/>
        <v>Over Buffer</v>
      </c>
      <c r="M407" s="10">
        <f t="shared" si="5"/>
        <v>-3520000</v>
      </c>
      <c r="N407" s="3" t="str">
        <f t="shared" si="6"/>
        <v>Refund</v>
      </c>
      <c r="O407" s="3" t="str">
        <f t="shared" si="7"/>
        <v>N/A</v>
      </c>
      <c r="P407" s="3">
        <f t="shared" si="8"/>
        <v>0</v>
      </c>
      <c r="Q407" s="3">
        <f t="shared" si="9"/>
        <v>0</v>
      </c>
      <c r="R407" s="12">
        <f t="shared" si="10"/>
        <v>1</v>
      </c>
    </row>
    <row r="408">
      <c r="A408" s="3" t="s">
        <v>446</v>
      </c>
      <c r="B408" s="4">
        <v>46168.0</v>
      </c>
      <c r="C408" s="4" t="str">
        <f t="shared" si="1"/>
        <v>May</v>
      </c>
      <c r="D408" s="3" t="s">
        <v>25</v>
      </c>
      <c r="E408" s="3" t="s">
        <v>15</v>
      </c>
      <c r="F408" s="3" t="s">
        <v>42</v>
      </c>
      <c r="G408" s="3" t="str">
        <f>VLOOKUP(F408, 'KODE PESAWAT'!$A$2:$C$42, 3, FALSE)</f>
        <v>Vietnam Airlines Group</v>
      </c>
      <c r="H408" s="10">
        <v>1638000.0</v>
      </c>
      <c r="I408" s="10">
        <v>2293200.0</v>
      </c>
      <c r="J408" s="10">
        <f t="shared" si="2"/>
        <v>-655200</v>
      </c>
      <c r="K408" s="11">
        <f t="shared" si="3"/>
        <v>-0.4</v>
      </c>
      <c r="L408" s="3" t="str">
        <f t="shared" si="4"/>
        <v>Fare Increase</v>
      </c>
      <c r="M408" s="10">
        <f t="shared" si="5"/>
        <v>655200</v>
      </c>
      <c r="N408" s="3" t="str">
        <f t="shared" si="6"/>
        <v>Issued</v>
      </c>
      <c r="O408" s="3" t="str">
        <f t="shared" si="7"/>
        <v>LOSS</v>
      </c>
      <c r="P408" s="3">
        <f t="shared" si="8"/>
        <v>1</v>
      </c>
      <c r="Q408" s="3">
        <f t="shared" si="9"/>
        <v>0</v>
      </c>
      <c r="R408" s="12">
        <f t="shared" si="10"/>
        <v>0</v>
      </c>
    </row>
    <row r="409">
      <c r="A409" s="3" t="s">
        <v>447</v>
      </c>
      <c r="B409" s="4">
        <v>46197.0</v>
      </c>
      <c r="C409" s="4" t="str">
        <f t="shared" si="1"/>
        <v>June</v>
      </c>
      <c r="D409" s="3" t="s">
        <v>10</v>
      </c>
      <c r="E409" s="3" t="s">
        <v>11</v>
      </c>
      <c r="F409" s="3" t="s">
        <v>19</v>
      </c>
      <c r="G409" s="3" t="str">
        <f>VLOOKUP(F409, 'KODE PESAWAT'!$A$2:$C$42, 3, FALSE)</f>
        <v>Lion Air Group</v>
      </c>
      <c r="H409" s="10">
        <v>1720000.0</v>
      </c>
      <c r="I409" s="10">
        <v>1634000.0</v>
      </c>
      <c r="J409" s="10">
        <f t="shared" si="2"/>
        <v>86000</v>
      </c>
      <c r="K409" s="11">
        <f t="shared" si="3"/>
        <v>0.05</v>
      </c>
      <c r="L409" s="3" t="str">
        <f t="shared" si="4"/>
        <v>Normal</v>
      </c>
      <c r="M409" s="10">
        <f t="shared" si="5"/>
        <v>-86000</v>
      </c>
      <c r="N409" s="3" t="str">
        <f t="shared" si="6"/>
        <v>Issued</v>
      </c>
      <c r="O409" s="3" t="str">
        <f t="shared" si="7"/>
        <v>PROFIT</v>
      </c>
      <c r="P409" s="3">
        <f t="shared" si="8"/>
        <v>1</v>
      </c>
      <c r="Q409" s="3">
        <f t="shared" si="9"/>
        <v>1</v>
      </c>
      <c r="R409" s="12">
        <f t="shared" si="10"/>
        <v>0</v>
      </c>
    </row>
    <row r="410">
      <c r="A410" s="3" t="s">
        <v>448</v>
      </c>
      <c r="B410" s="4">
        <v>46271.0</v>
      </c>
      <c r="C410" s="4" t="str">
        <f t="shared" si="1"/>
        <v>September</v>
      </c>
      <c r="D410" s="3" t="s">
        <v>25</v>
      </c>
      <c r="E410" s="3" t="s">
        <v>15</v>
      </c>
      <c r="F410" s="3" t="s">
        <v>61</v>
      </c>
      <c r="G410" s="3" t="str">
        <f>VLOOKUP(F410, 'KODE PESAWAT'!$A$2:$C$42, 3, FALSE)</f>
        <v>Vietravel Group</v>
      </c>
      <c r="H410" s="10">
        <v>530000.0</v>
      </c>
      <c r="I410" s="10">
        <v>503500.0</v>
      </c>
      <c r="J410" s="10">
        <f t="shared" si="2"/>
        <v>26500</v>
      </c>
      <c r="K410" s="11">
        <f t="shared" si="3"/>
        <v>0.05</v>
      </c>
      <c r="L410" s="3" t="str">
        <f t="shared" si="4"/>
        <v>Normal</v>
      </c>
      <c r="M410" s="10">
        <f t="shared" si="5"/>
        <v>-26500</v>
      </c>
      <c r="N410" s="3" t="str">
        <f t="shared" si="6"/>
        <v>Issued</v>
      </c>
      <c r="O410" s="3" t="str">
        <f t="shared" si="7"/>
        <v>PROFIT</v>
      </c>
      <c r="P410" s="3">
        <f t="shared" si="8"/>
        <v>1</v>
      </c>
      <c r="Q410" s="3">
        <f t="shared" si="9"/>
        <v>1</v>
      </c>
      <c r="R410" s="12">
        <f t="shared" si="10"/>
        <v>0</v>
      </c>
    </row>
    <row r="411">
      <c r="A411" s="3" t="s">
        <v>449</v>
      </c>
      <c r="B411" s="4">
        <v>46029.0</v>
      </c>
      <c r="C411" s="4" t="str">
        <f t="shared" si="1"/>
        <v>January</v>
      </c>
      <c r="D411" s="3" t="s">
        <v>14</v>
      </c>
      <c r="E411" s="3" t="s">
        <v>15</v>
      </c>
      <c r="F411" s="3" t="s">
        <v>63</v>
      </c>
      <c r="G411" s="3" t="str">
        <f>VLOOKUP(F411, 'KODE PESAWAT'!$A$2:$C$42, 3, FALSE)</f>
        <v>Lion Air Group</v>
      </c>
      <c r="H411" s="10">
        <v>3805000.0</v>
      </c>
      <c r="I411" s="10">
        <v>3614750.0</v>
      </c>
      <c r="J411" s="10">
        <f t="shared" si="2"/>
        <v>190250</v>
      </c>
      <c r="K411" s="11">
        <f t="shared" si="3"/>
        <v>0.05</v>
      </c>
      <c r="L411" s="3" t="str">
        <f t="shared" si="4"/>
        <v>Normal</v>
      </c>
      <c r="M411" s="10">
        <f t="shared" si="5"/>
        <v>-190250</v>
      </c>
      <c r="N411" s="3" t="str">
        <f t="shared" si="6"/>
        <v>Issued</v>
      </c>
      <c r="O411" s="3" t="str">
        <f t="shared" si="7"/>
        <v>PROFIT</v>
      </c>
      <c r="P411" s="3">
        <f t="shared" si="8"/>
        <v>1</v>
      </c>
      <c r="Q411" s="3">
        <f t="shared" si="9"/>
        <v>1</v>
      </c>
      <c r="R411" s="12">
        <f t="shared" si="10"/>
        <v>0</v>
      </c>
    </row>
    <row r="412">
      <c r="A412" s="3" t="s">
        <v>450</v>
      </c>
      <c r="B412" s="4">
        <v>46288.0</v>
      </c>
      <c r="C412" s="4" t="str">
        <f t="shared" si="1"/>
        <v>September</v>
      </c>
      <c r="D412" s="3" t="s">
        <v>14</v>
      </c>
      <c r="E412" s="3" t="s">
        <v>15</v>
      </c>
      <c r="F412" s="3" t="s">
        <v>37</v>
      </c>
      <c r="G412" s="3" t="str">
        <f>VLOOKUP(F412, 'KODE PESAWAT'!$A$2:$C$42, 3, FALSE)</f>
        <v>Lion Air Group</v>
      </c>
      <c r="H412" s="10">
        <v>1513000.0</v>
      </c>
      <c r="I412" s="10">
        <v>1437350.0</v>
      </c>
      <c r="J412" s="10">
        <f t="shared" si="2"/>
        <v>75650</v>
      </c>
      <c r="K412" s="11">
        <f t="shared" si="3"/>
        <v>0.05</v>
      </c>
      <c r="L412" s="3" t="str">
        <f t="shared" si="4"/>
        <v>Normal</v>
      </c>
      <c r="M412" s="10">
        <f t="shared" si="5"/>
        <v>-75650</v>
      </c>
      <c r="N412" s="3" t="str">
        <f t="shared" si="6"/>
        <v>Issued</v>
      </c>
      <c r="O412" s="3" t="str">
        <f t="shared" si="7"/>
        <v>PROFIT</v>
      </c>
      <c r="P412" s="3">
        <f t="shared" si="8"/>
        <v>1</v>
      </c>
      <c r="Q412" s="3">
        <f t="shared" si="9"/>
        <v>1</v>
      </c>
      <c r="R412" s="12">
        <f t="shared" si="10"/>
        <v>0</v>
      </c>
    </row>
    <row r="413">
      <c r="A413" s="3" t="s">
        <v>451</v>
      </c>
      <c r="B413" s="4">
        <v>46368.0</v>
      </c>
      <c r="C413" s="4" t="str">
        <f t="shared" si="1"/>
        <v>December</v>
      </c>
      <c r="D413" s="3" t="s">
        <v>10</v>
      </c>
      <c r="E413" s="3" t="s">
        <v>11</v>
      </c>
      <c r="F413" s="3" t="s">
        <v>21</v>
      </c>
      <c r="G413" s="3" t="str">
        <f>VLOOKUP(F413, 'KODE PESAWAT'!$A$2:$C$42, 3, FALSE)</f>
        <v>Singapore Airlines Group</v>
      </c>
      <c r="H413" s="10">
        <v>480000.0</v>
      </c>
      <c r="I413" s="10">
        <v>1200000.0</v>
      </c>
      <c r="J413" s="10">
        <f t="shared" si="2"/>
        <v>-720000</v>
      </c>
      <c r="K413" s="11">
        <f t="shared" si="3"/>
        <v>-1.5</v>
      </c>
      <c r="L413" s="3" t="str">
        <f t="shared" si="4"/>
        <v>Over Buffer</v>
      </c>
      <c r="M413" s="10">
        <f t="shared" si="5"/>
        <v>-480000</v>
      </c>
      <c r="N413" s="3" t="str">
        <f t="shared" si="6"/>
        <v>Refund</v>
      </c>
      <c r="O413" s="3" t="str">
        <f t="shared" si="7"/>
        <v>N/A</v>
      </c>
      <c r="P413" s="3">
        <f t="shared" si="8"/>
        <v>0</v>
      </c>
      <c r="Q413" s="3">
        <f t="shared" si="9"/>
        <v>0</v>
      </c>
      <c r="R413" s="12">
        <f t="shared" si="10"/>
        <v>1</v>
      </c>
    </row>
    <row r="414">
      <c r="A414" s="3" t="s">
        <v>452</v>
      </c>
      <c r="B414" s="4">
        <v>46307.0</v>
      </c>
      <c r="C414" s="4" t="str">
        <f t="shared" si="1"/>
        <v>October</v>
      </c>
      <c r="D414" s="3" t="s">
        <v>18</v>
      </c>
      <c r="E414" s="3" t="s">
        <v>11</v>
      </c>
      <c r="F414" s="3" t="s">
        <v>35</v>
      </c>
      <c r="G414" s="3" t="str">
        <f>VLOOKUP(F414, 'KODE PESAWAT'!$A$2:$C$42, 3, FALSE)</f>
        <v>Lion Air Group</v>
      </c>
      <c r="H414" s="10">
        <v>1118000.0</v>
      </c>
      <c r="I414" s="10">
        <v>1565200.0</v>
      </c>
      <c r="J414" s="10">
        <f t="shared" si="2"/>
        <v>-447200</v>
      </c>
      <c r="K414" s="11">
        <f t="shared" si="3"/>
        <v>-0.4</v>
      </c>
      <c r="L414" s="3" t="str">
        <f t="shared" si="4"/>
        <v>Fare Increase</v>
      </c>
      <c r="M414" s="10">
        <f t="shared" si="5"/>
        <v>447200</v>
      </c>
      <c r="N414" s="3" t="str">
        <f t="shared" si="6"/>
        <v>Issued</v>
      </c>
      <c r="O414" s="3" t="str">
        <f t="shared" si="7"/>
        <v>LOSS</v>
      </c>
      <c r="P414" s="3">
        <f t="shared" si="8"/>
        <v>1</v>
      </c>
      <c r="Q414" s="3">
        <f t="shared" si="9"/>
        <v>0</v>
      </c>
      <c r="R414" s="12">
        <f t="shared" si="10"/>
        <v>0</v>
      </c>
    </row>
    <row r="415">
      <c r="A415" s="3" t="s">
        <v>453</v>
      </c>
      <c r="B415" s="4">
        <v>46070.0</v>
      </c>
      <c r="C415" s="4" t="str">
        <f t="shared" si="1"/>
        <v>February</v>
      </c>
      <c r="D415" s="3" t="s">
        <v>30</v>
      </c>
      <c r="E415" s="3" t="s">
        <v>15</v>
      </c>
      <c r="F415" s="3" t="s">
        <v>21</v>
      </c>
      <c r="G415" s="3" t="str">
        <f>VLOOKUP(F415, 'KODE PESAWAT'!$A$2:$C$42, 3, FALSE)</f>
        <v>Singapore Airlines Group</v>
      </c>
      <c r="H415" s="10">
        <v>1757000.0</v>
      </c>
      <c r="I415" s="10">
        <v>2459800.0</v>
      </c>
      <c r="J415" s="10">
        <f t="shared" si="2"/>
        <v>-702800</v>
      </c>
      <c r="K415" s="11">
        <f t="shared" si="3"/>
        <v>-0.4</v>
      </c>
      <c r="L415" s="3" t="str">
        <f t="shared" si="4"/>
        <v>Fare Increase</v>
      </c>
      <c r="M415" s="10">
        <f t="shared" si="5"/>
        <v>702800</v>
      </c>
      <c r="N415" s="3" t="str">
        <f t="shared" si="6"/>
        <v>Issued</v>
      </c>
      <c r="O415" s="3" t="str">
        <f t="shared" si="7"/>
        <v>LOSS</v>
      </c>
      <c r="P415" s="3">
        <f t="shared" si="8"/>
        <v>1</v>
      </c>
      <c r="Q415" s="3">
        <f t="shared" si="9"/>
        <v>0</v>
      </c>
      <c r="R415" s="12">
        <f t="shared" si="10"/>
        <v>0</v>
      </c>
    </row>
    <row r="416">
      <c r="A416" s="3" t="s">
        <v>454</v>
      </c>
      <c r="B416" s="4">
        <v>46115.0</v>
      </c>
      <c r="C416" s="4" t="str">
        <f t="shared" si="1"/>
        <v>April</v>
      </c>
      <c r="D416" s="3" t="s">
        <v>30</v>
      </c>
      <c r="E416" s="3" t="s">
        <v>15</v>
      </c>
      <c r="F416" s="3" t="s">
        <v>421</v>
      </c>
      <c r="G416" s="3" t="str">
        <f>VLOOKUP(F416, 'KODE PESAWAT'!$A$2:$C$42, 3, FALSE)</f>
        <v>AirAsia Group</v>
      </c>
      <c r="H416" s="10">
        <v>473000.0</v>
      </c>
      <c r="I416" s="10">
        <v>449350.0</v>
      </c>
      <c r="J416" s="10">
        <f t="shared" si="2"/>
        <v>23650</v>
      </c>
      <c r="K416" s="11">
        <f t="shared" si="3"/>
        <v>0.05</v>
      </c>
      <c r="L416" s="3" t="str">
        <f t="shared" si="4"/>
        <v>Normal</v>
      </c>
      <c r="M416" s="10">
        <f t="shared" si="5"/>
        <v>-23650</v>
      </c>
      <c r="N416" s="3" t="str">
        <f t="shared" si="6"/>
        <v>Issued</v>
      </c>
      <c r="O416" s="3" t="str">
        <f t="shared" si="7"/>
        <v>PROFIT</v>
      </c>
      <c r="P416" s="3">
        <f t="shared" si="8"/>
        <v>1</v>
      </c>
      <c r="Q416" s="3">
        <f t="shared" si="9"/>
        <v>1</v>
      </c>
      <c r="R416" s="12">
        <f t="shared" si="10"/>
        <v>0</v>
      </c>
    </row>
    <row r="417">
      <c r="A417" s="3" t="s">
        <v>455</v>
      </c>
      <c r="B417" s="4">
        <v>46194.0</v>
      </c>
      <c r="C417" s="4" t="str">
        <f t="shared" si="1"/>
        <v>June</v>
      </c>
      <c r="D417" s="3" t="s">
        <v>23</v>
      </c>
      <c r="E417" s="3" t="s">
        <v>15</v>
      </c>
      <c r="F417" s="3" t="s">
        <v>31</v>
      </c>
      <c r="G417" s="3" t="str">
        <f>VLOOKUP(F417, 'KODE PESAWAT'!$A$2:$C$42, 3, FALSE)</f>
        <v>Garuda Indonesia Group</v>
      </c>
      <c r="H417" s="10">
        <v>839000.0</v>
      </c>
      <c r="I417" s="10">
        <v>797050.0</v>
      </c>
      <c r="J417" s="10">
        <f t="shared" si="2"/>
        <v>41950</v>
      </c>
      <c r="K417" s="11">
        <f t="shared" si="3"/>
        <v>0.05</v>
      </c>
      <c r="L417" s="3" t="str">
        <f t="shared" si="4"/>
        <v>Normal</v>
      </c>
      <c r="M417" s="10">
        <f t="shared" si="5"/>
        <v>-41950</v>
      </c>
      <c r="N417" s="3" t="str">
        <f t="shared" si="6"/>
        <v>Issued</v>
      </c>
      <c r="O417" s="3" t="str">
        <f t="shared" si="7"/>
        <v>PROFIT</v>
      </c>
      <c r="P417" s="3">
        <f t="shared" si="8"/>
        <v>1</v>
      </c>
      <c r="Q417" s="3">
        <f t="shared" si="9"/>
        <v>1</v>
      </c>
      <c r="R417" s="12">
        <f t="shared" si="10"/>
        <v>0</v>
      </c>
    </row>
    <row r="418">
      <c r="A418" s="3" t="s">
        <v>456</v>
      </c>
      <c r="B418" s="4">
        <v>46291.0</v>
      </c>
      <c r="C418" s="4" t="str">
        <f t="shared" si="1"/>
        <v>September</v>
      </c>
      <c r="D418" s="3" t="s">
        <v>25</v>
      </c>
      <c r="E418" s="3" t="s">
        <v>15</v>
      </c>
      <c r="F418" s="3" t="s">
        <v>116</v>
      </c>
      <c r="G418" s="3" t="str">
        <f>VLOOKUP(F418, 'KODE PESAWAT'!$A$2:$C$42, 3, FALSE)</f>
        <v>VietJet Group</v>
      </c>
      <c r="H418" s="10">
        <v>1569000.0</v>
      </c>
      <c r="I418" s="10">
        <v>3922500.0</v>
      </c>
      <c r="J418" s="10">
        <f t="shared" si="2"/>
        <v>-2353500</v>
      </c>
      <c r="K418" s="11">
        <f t="shared" si="3"/>
        <v>-1.5</v>
      </c>
      <c r="L418" s="3" t="str">
        <f t="shared" si="4"/>
        <v>Over Buffer</v>
      </c>
      <c r="M418" s="10">
        <f t="shared" si="5"/>
        <v>-1569000</v>
      </c>
      <c r="N418" s="3" t="str">
        <f t="shared" si="6"/>
        <v>Refund</v>
      </c>
      <c r="O418" s="3" t="str">
        <f t="shared" si="7"/>
        <v>N/A</v>
      </c>
      <c r="P418" s="3">
        <f t="shared" si="8"/>
        <v>0</v>
      </c>
      <c r="Q418" s="3">
        <f t="shared" si="9"/>
        <v>0</v>
      </c>
      <c r="R418" s="12">
        <f t="shared" si="10"/>
        <v>1</v>
      </c>
    </row>
    <row r="419">
      <c r="A419" s="3" t="s">
        <v>457</v>
      </c>
      <c r="B419" s="4">
        <v>46358.0</v>
      </c>
      <c r="C419" s="4" t="str">
        <f t="shared" si="1"/>
        <v>December</v>
      </c>
      <c r="D419" s="3" t="s">
        <v>25</v>
      </c>
      <c r="E419" s="3" t="s">
        <v>15</v>
      </c>
      <c r="F419" s="3" t="s">
        <v>26</v>
      </c>
      <c r="G419" s="3" t="str">
        <f>VLOOKUP(F419, 'KODE PESAWAT'!$A$2:$C$42, 3, FALSE)</f>
        <v>VietJet Group</v>
      </c>
      <c r="H419" s="10">
        <v>1076000.0</v>
      </c>
      <c r="I419" s="10">
        <v>1022200.0</v>
      </c>
      <c r="J419" s="10">
        <f t="shared" si="2"/>
        <v>53800</v>
      </c>
      <c r="K419" s="11">
        <f t="shared" si="3"/>
        <v>0.05</v>
      </c>
      <c r="L419" s="3" t="str">
        <f t="shared" si="4"/>
        <v>Normal</v>
      </c>
      <c r="M419" s="10">
        <f t="shared" si="5"/>
        <v>-53800</v>
      </c>
      <c r="N419" s="3" t="str">
        <f t="shared" si="6"/>
        <v>Issued</v>
      </c>
      <c r="O419" s="3" t="str">
        <f t="shared" si="7"/>
        <v>PROFIT</v>
      </c>
      <c r="P419" s="3">
        <f t="shared" si="8"/>
        <v>1</v>
      </c>
      <c r="Q419" s="3">
        <f t="shared" si="9"/>
        <v>1</v>
      </c>
      <c r="R419" s="12">
        <f t="shared" si="10"/>
        <v>0</v>
      </c>
    </row>
    <row r="420">
      <c r="A420" s="3" t="s">
        <v>458</v>
      </c>
      <c r="B420" s="4">
        <v>46033.0</v>
      </c>
      <c r="C420" s="4" t="str">
        <f t="shared" si="1"/>
        <v>January</v>
      </c>
      <c r="D420" s="3" t="s">
        <v>18</v>
      </c>
      <c r="E420" s="3" t="s">
        <v>11</v>
      </c>
      <c r="F420" s="3" t="s">
        <v>21</v>
      </c>
      <c r="G420" s="3" t="str">
        <f>VLOOKUP(F420, 'KODE PESAWAT'!$A$2:$C$42, 3, FALSE)</f>
        <v>Singapore Airlines Group</v>
      </c>
      <c r="H420" s="10">
        <v>800000.0</v>
      </c>
      <c r="I420" s="10">
        <v>919999.9999999999</v>
      </c>
      <c r="J420" s="10">
        <f t="shared" si="2"/>
        <v>-120000</v>
      </c>
      <c r="K420" s="11">
        <f t="shared" si="3"/>
        <v>-0.15</v>
      </c>
      <c r="L420" s="3" t="str">
        <f t="shared" si="4"/>
        <v>Fare Increase</v>
      </c>
      <c r="M420" s="10">
        <f t="shared" si="5"/>
        <v>120000</v>
      </c>
      <c r="N420" s="3" t="str">
        <f t="shared" si="6"/>
        <v>Issued</v>
      </c>
      <c r="O420" s="3" t="str">
        <f t="shared" si="7"/>
        <v>LOSS</v>
      </c>
      <c r="P420" s="3">
        <f t="shared" si="8"/>
        <v>1</v>
      </c>
      <c r="Q420" s="3">
        <f t="shared" si="9"/>
        <v>0</v>
      </c>
      <c r="R420" s="12">
        <f t="shared" si="10"/>
        <v>0</v>
      </c>
    </row>
    <row r="421">
      <c r="A421" s="3" t="s">
        <v>459</v>
      </c>
      <c r="B421" s="4">
        <v>46372.0</v>
      </c>
      <c r="C421" s="4" t="str">
        <f t="shared" si="1"/>
        <v>December</v>
      </c>
      <c r="D421" s="3" t="s">
        <v>25</v>
      </c>
      <c r="E421" s="3" t="s">
        <v>15</v>
      </c>
      <c r="F421" s="3" t="s">
        <v>26</v>
      </c>
      <c r="G421" s="3" t="str">
        <f>VLOOKUP(F421, 'KODE PESAWAT'!$A$2:$C$42, 3, FALSE)</f>
        <v>VietJet Group</v>
      </c>
      <c r="H421" s="10">
        <v>1354000.0</v>
      </c>
      <c r="I421" s="10">
        <v>3385000.0</v>
      </c>
      <c r="J421" s="10">
        <f t="shared" si="2"/>
        <v>-2031000</v>
      </c>
      <c r="K421" s="11">
        <f t="shared" si="3"/>
        <v>-1.5</v>
      </c>
      <c r="L421" s="3" t="str">
        <f t="shared" si="4"/>
        <v>Over Buffer</v>
      </c>
      <c r="M421" s="10">
        <f t="shared" si="5"/>
        <v>-1354000</v>
      </c>
      <c r="N421" s="3" t="str">
        <f t="shared" si="6"/>
        <v>Refund</v>
      </c>
      <c r="O421" s="3" t="str">
        <f t="shared" si="7"/>
        <v>N/A</v>
      </c>
      <c r="P421" s="3">
        <f t="shared" si="8"/>
        <v>0</v>
      </c>
      <c r="Q421" s="3">
        <f t="shared" si="9"/>
        <v>0</v>
      </c>
      <c r="R421" s="12">
        <f t="shared" si="10"/>
        <v>1</v>
      </c>
    </row>
    <row r="422">
      <c r="A422" s="3" t="s">
        <v>460</v>
      </c>
      <c r="B422" s="4">
        <v>46096.0</v>
      </c>
      <c r="C422" s="4" t="str">
        <f t="shared" si="1"/>
        <v>March</v>
      </c>
      <c r="D422" s="3" t="s">
        <v>25</v>
      </c>
      <c r="E422" s="3" t="s">
        <v>15</v>
      </c>
      <c r="F422" s="3" t="s">
        <v>61</v>
      </c>
      <c r="G422" s="3" t="str">
        <f>VLOOKUP(F422, 'KODE PESAWAT'!$A$2:$C$42, 3, FALSE)</f>
        <v>Vietravel Group</v>
      </c>
      <c r="H422" s="10">
        <v>1506000.0</v>
      </c>
      <c r="I422" s="10">
        <v>3765000.0</v>
      </c>
      <c r="J422" s="10">
        <f t="shared" si="2"/>
        <v>-2259000</v>
      </c>
      <c r="K422" s="11">
        <f t="shared" si="3"/>
        <v>-1.5</v>
      </c>
      <c r="L422" s="3" t="str">
        <f t="shared" si="4"/>
        <v>Over Buffer</v>
      </c>
      <c r="M422" s="10">
        <f t="shared" si="5"/>
        <v>-1506000</v>
      </c>
      <c r="N422" s="3" t="str">
        <f t="shared" si="6"/>
        <v>Refund</v>
      </c>
      <c r="O422" s="3" t="str">
        <f t="shared" si="7"/>
        <v>N/A</v>
      </c>
      <c r="P422" s="3">
        <f t="shared" si="8"/>
        <v>0</v>
      </c>
      <c r="Q422" s="3">
        <f t="shared" si="9"/>
        <v>0</v>
      </c>
      <c r="R422" s="12">
        <f t="shared" si="10"/>
        <v>1</v>
      </c>
    </row>
    <row r="423">
      <c r="A423" s="3" t="s">
        <v>461</v>
      </c>
      <c r="B423" s="4">
        <v>46161.0</v>
      </c>
      <c r="C423" s="4" t="str">
        <f t="shared" si="1"/>
        <v>May</v>
      </c>
      <c r="D423" s="3" t="s">
        <v>14</v>
      </c>
      <c r="E423" s="3" t="s">
        <v>15</v>
      </c>
      <c r="F423" s="3" t="s">
        <v>16</v>
      </c>
      <c r="G423" s="3" t="str">
        <f>VLOOKUP(F423, 'KODE PESAWAT'!$A$2:$C$42, 3, FALSE)</f>
        <v>Thai Airways Group (Associate)</v>
      </c>
      <c r="H423" s="10">
        <v>1422000.0</v>
      </c>
      <c r="I423" s="10">
        <v>1350900.0</v>
      </c>
      <c r="J423" s="10">
        <f t="shared" si="2"/>
        <v>71100</v>
      </c>
      <c r="K423" s="11">
        <f t="shared" si="3"/>
        <v>0.05</v>
      </c>
      <c r="L423" s="3" t="str">
        <f t="shared" si="4"/>
        <v>Normal</v>
      </c>
      <c r="M423" s="10">
        <f t="shared" si="5"/>
        <v>-71100</v>
      </c>
      <c r="N423" s="3" t="str">
        <f t="shared" si="6"/>
        <v>Issued</v>
      </c>
      <c r="O423" s="3" t="str">
        <f t="shared" si="7"/>
        <v>PROFIT</v>
      </c>
      <c r="P423" s="3">
        <f t="shared" si="8"/>
        <v>1</v>
      </c>
      <c r="Q423" s="3">
        <f t="shared" si="9"/>
        <v>1</v>
      </c>
      <c r="R423" s="12">
        <f t="shared" si="10"/>
        <v>0</v>
      </c>
    </row>
    <row r="424">
      <c r="A424" s="3" t="s">
        <v>462</v>
      </c>
      <c r="B424" s="4">
        <v>46375.0</v>
      </c>
      <c r="C424" s="4" t="str">
        <f t="shared" si="1"/>
        <v>December</v>
      </c>
      <c r="D424" s="3" t="s">
        <v>30</v>
      </c>
      <c r="E424" s="3" t="s">
        <v>15</v>
      </c>
      <c r="F424" s="3" t="s">
        <v>42</v>
      </c>
      <c r="G424" s="3" t="str">
        <f>VLOOKUP(F424, 'KODE PESAWAT'!$A$2:$C$42, 3, FALSE)</f>
        <v>Vietnam Airlines Group</v>
      </c>
      <c r="H424" s="10">
        <v>503000.0</v>
      </c>
      <c r="I424" s="10">
        <v>704200.0</v>
      </c>
      <c r="J424" s="10">
        <f t="shared" si="2"/>
        <v>-201200</v>
      </c>
      <c r="K424" s="11">
        <f t="shared" si="3"/>
        <v>-0.4</v>
      </c>
      <c r="L424" s="3" t="str">
        <f t="shared" si="4"/>
        <v>Fare Increase</v>
      </c>
      <c r="M424" s="10">
        <f t="shared" si="5"/>
        <v>201200</v>
      </c>
      <c r="N424" s="3" t="str">
        <f t="shared" si="6"/>
        <v>Issued</v>
      </c>
      <c r="O424" s="3" t="str">
        <f t="shared" si="7"/>
        <v>LOSS</v>
      </c>
      <c r="P424" s="3">
        <f t="shared" si="8"/>
        <v>1</v>
      </c>
      <c r="Q424" s="3">
        <f t="shared" si="9"/>
        <v>0</v>
      </c>
      <c r="R424" s="12">
        <f t="shared" si="10"/>
        <v>0</v>
      </c>
    </row>
    <row r="425">
      <c r="A425" s="3" t="s">
        <v>463</v>
      </c>
      <c r="B425" s="4">
        <v>46169.0</v>
      </c>
      <c r="C425" s="4" t="str">
        <f t="shared" si="1"/>
        <v>May</v>
      </c>
      <c r="D425" s="3" t="s">
        <v>18</v>
      </c>
      <c r="E425" s="3" t="s">
        <v>11</v>
      </c>
      <c r="F425" s="3" t="s">
        <v>63</v>
      </c>
      <c r="G425" s="3" t="str">
        <f>VLOOKUP(F425, 'KODE PESAWAT'!$A$2:$C$42, 3, FALSE)</f>
        <v>Lion Air Group</v>
      </c>
      <c r="H425" s="10">
        <v>962000.0</v>
      </c>
      <c r="I425" s="10">
        <v>2405000.0</v>
      </c>
      <c r="J425" s="10">
        <f t="shared" si="2"/>
        <v>-1443000</v>
      </c>
      <c r="K425" s="11">
        <f t="shared" si="3"/>
        <v>-1.5</v>
      </c>
      <c r="L425" s="3" t="str">
        <f t="shared" si="4"/>
        <v>Over Buffer</v>
      </c>
      <c r="M425" s="10">
        <f t="shared" si="5"/>
        <v>-962000</v>
      </c>
      <c r="N425" s="3" t="str">
        <f t="shared" si="6"/>
        <v>Refund</v>
      </c>
      <c r="O425" s="3" t="str">
        <f t="shared" si="7"/>
        <v>N/A</v>
      </c>
      <c r="P425" s="3">
        <f t="shared" si="8"/>
        <v>0</v>
      </c>
      <c r="Q425" s="3">
        <f t="shared" si="9"/>
        <v>0</v>
      </c>
      <c r="R425" s="12">
        <f t="shared" si="10"/>
        <v>1</v>
      </c>
    </row>
    <row r="426">
      <c r="A426" s="3" t="s">
        <v>464</v>
      </c>
      <c r="B426" s="4">
        <v>46030.0</v>
      </c>
      <c r="C426" s="4" t="str">
        <f t="shared" si="1"/>
        <v>January</v>
      </c>
      <c r="D426" s="3" t="s">
        <v>25</v>
      </c>
      <c r="E426" s="3" t="s">
        <v>15</v>
      </c>
      <c r="F426" s="3" t="s">
        <v>61</v>
      </c>
      <c r="G426" s="3" t="str">
        <f>VLOOKUP(F426, 'KODE PESAWAT'!$A$2:$C$42, 3, FALSE)</f>
        <v>Vietravel Group</v>
      </c>
      <c r="H426" s="10">
        <v>519000.0</v>
      </c>
      <c r="I426" s="10">
        <v>596850.0</v>
      </c>
      <c r="J426" s="10">
        <f t="shared" si="2"/>
        <v>-77850</v>
      </c>
      <c r="K426" s="11">
        <f t="shared" si="3"/>
        <v>-0.15</v>
      </c>
      <c r="L426" s="3" t="str">
        <f t="shared" si="4"/>
        <v>Fare Increase</v>
      </c>
      <c r="M426" s="10">
        <f t="shared" si="5"/>
        <v>77850</v>
      </c>
      <c r="N426" s="3" t="str">
        <f t="shared" si="6"/>
        <v>Issued</v>
      </c>
      <c r="O426" s="3" t="str">
        <f t="shared" si="7"/>
        <v>LOSS</v>
      </c>
      <c r="P426" s="3">
        <f t="shared" si="8"/>
        <v>1</v>
      </c>
      <c r="Q426" s="3">
        <f t="shared" si="9"/>
        <v>0</v>
      </c>
      <c r="R426" s="12">
        <f t="shared" si="10"/>
        <v>0</v>
      </c>
    </row>
    <row r="427">
      <c r="A427" s="3" t="s">
        <v>465</v>
      </c>
      <c r="B427" s="4">
        <v>46228.0</v>
      </c>
      <c r="C427" s="4" t="str">
        <f t="shared" si="1"/>
        <v>July</v>
      </c>
      <c r="D427" s="3" t="s">
        <v>18</v>
      </c>
      <c r="E427" s="3" t="s">
        <v>11</v>
      </c>
      <c r="F427" s="3" t="s">
        <v>19</v>
      </c>
      <c r="G427" s="3" t="str">
        <f>VLOOKUP(F427, 'KODE PESAWAT'!$A$2:$C$42, 3, FALSE)</f>
        <v>Lion Air Group</v>
      </c>
      <c r="H427" s="10">
        <v>7633000.0</v>
      </c>
      <c r="I427" s="10">
        <v>8777950.0</v>
      </c>
      <c r="J427" s="10">
        <f t="shared" si="2"/>
        <v>-1144950</v>
      </c>
      <c r="K427" s="11">
        <f t="shared" si="3"/>
        <v>-0.15</v>
      </c>
      <c r="L427" s="3" t="str">
        <f t="shared" si="4"/>
        <v>Fare Increase</v>
      </c>
      <c r="M427" s="10">
        <f t="shared" si="5"/>
        <v>1144950</v>
      </c>
      <c r="N427" s="3" t="str">
        <f t="shared" si="6"/>
        <v>Issued</v>
      </c>
      <c r="O427" s="3" t="str">
        <f t="shared" si="7"/>
        <v>LOSS</v>
      </c>
      <c r="P427" s="3">
        <f t="shared" si="8"/>
        <v>1</v>
      </c>
      <c r="Q427" s="3">
        <f t="shared" si="9"/>
        <v>0</v>
      </c>
      <c r="R427" s="12">
        <f t="shared" si="10"/>
        <v>0</v>
      </c>
    </row>
    <row r="428">
      <c r="A428" s="3" t="s">
        <v>466</v>
      </c>
      <c r="B428" s="4">
        <v>46292.0</v>
      </c>
      <c r="C428" s="4" t="str">
        <f t="shared" si="1"/>
        <v>September</v>
      </c>
      <c r="D428" s="3" t="s">
        <v>14</v>
      </c>
      <c r="E428" s="3" t="s">
        <v>15</v>
      </c>
      <c r="F428" s="3" t="s">
        <v>37</v>
      </c>
      <c r="G428" s="3" t="str">
        <f>VLOOKUP(F428, 'KODE PESAWAT'!$A$2:$C$42, 3, FALSE)</f>
        <v>Lion Air Group</v>
      </c>
      <c r="H428" s="10">
        <v>809000.0</v>
      </c>
      <c r="I428" s="10">
        <v>930349.9999999999</v>
      </c>
      <c r="J428" s="10">
        <f t="shared" si="2"/>
        <v>-121350</v>
      </c>
      <c r="K428" s="11">
        <f t="shared" si="3"/>
        <v>-0.15</v>
      </c>
      <c r="L428" s="3" t="str">
        <f t="shared" si="4"/>
        <v>Fare Increase</v>
      </c>
      <c r="M428" s="10">
        <f t="shared" si="5"/>
        <v>121350</v>
      </c>
      <c r="N428" s="3" t="str">
        <f t="shared" si="6"/>
        <v>Issued</v>
      </c>
      <c r="O428" s="3" t="str">
        <f t="shared" si="7"/>
        <v>LOSS</v>
      </c>
      <c r="P428" s="3">
        <f t="shared" si="8"/>
        <v>1</v>
      </c>
      <c r="Q428" s="3">
        <f t="shared" si="9"/>
        <v>0</v>
      </c>
      <c r="R428" s="12">
        <f t="shared" si="10"/>
        <v>0</v>
      </c>
    </row>
    <row r="429">
      <c r="A429" s="3" t="s">
        <v>467</v>
      </c>
      <c r="B429" s="4">
        <v>46317.0</v>
      </c>
      <c r="C429" s="4" t="str">
        <f t="shared" si="1"/>
        <v>October</v>
      </c>
      <c r="D429" s="3" t="s">
        <v>30</v>
      </c>
      <c r="E429" s="3" t="s">
        <v>15</v>
      </c>
      <c r="F429" s="3" t="s">
        <v>468</v>
      </c>
      <c r="G429" s="3" t="str">
        <f>VLOOKUP(F429, 'KODE PESAWAT'!$A$2:$C$42, 3, FALSE)</f>
        <v>Qantas Group</v>
      </c>
      <c r="H429" s="10">
        <v>1.0579E7</v>
      </c>
      <c r="I429" s="10">
        <v>1.005005E7</v>
      </c>
      <c r="J429" s="10">
        <f t="shared" si="2"/>
        <v>528950</v>
      </c>
      <c r="K429" s="11">
        <f t="shared" si="3"/>
        <v>0.05</v>
      </c>
      <c r="L429" s="3" t="str">
        <f t="shared" si="4"/>
        <v>Normal</v>
      </c>
      <c r="M429" s="10">
        <f t="shared" si="5"/>
        <v>-528950</v>
      </c>
      <c r="N429" s="3" t="str">
        <f t="shared" si="6"/>
        <v>Issued</v>
      </c>
      <c r="O429" s="3" t="str">
        <f t="shared" si="7"/>
        <v>PROFIT</v>
      </c>
      <c r="P429" s="3">
        <f t="shared" si="8"/>
        <v>1</v>
      </c>
      <c r="Q429" s="3">
        <f t="shared" si="9"/>
        <v>1</v>
      </c>
      <c r="R429" s="12">
        <f t="shared" si="10"/>
        <v>0</v>
      </c>
    </row>
    <row r="430">
      <c r="A430" s="3" t="s">
        <v>469</v>
      </c>
      <c r="B430" s="4">
        <v>46247.0</v>
      </c>
      <c r="C430" s="4" t="str">
        <f t="shared" si="1"/>
        <v>August</v>
      </c>
      <c r="D430" s="3" t="s">
        <v>18</v>
      </c>
      <c r="E430" s="3" t="s">
        <v>11</v>
      </c>
      <c r="F430" s="3" t="s">
        <v>19</v>
      </c>
      <c r="G430" s="3" t="str">
        <f>VLOOKUP(F430, 'KODE PESAWAT'!$A$2:$C$42, 3, FALSE)</f>
        <v>Lion Air Group</v>
      </c>
      <c r="H430" s="10">
        <v>883000.0</v>
      </c>
      <c r="I430" s="10">
        <v>1236200.0</v>
      </c>
      <c r="J430" s="10">
        <f t="shared" si="2"/>
        <v>-353200</v>
      </c>
      <c r="K430" s="11">
        <f t="shared" si="3"/>
        <v>-0.4</v>
      </c>
      <c r="L430" s="3" t="str">
        <f t="shared" si="4"/>
        <v>Fare Increase</v>
      </c>
      <c r="M430" s="10">
        <f t="shared" si="5"/>
        <v>353200</v>
      </c>
      <c r="N430" s="3" t="str">
        <f t="shared" si="6"/>
        <v>Issued</v>
      </c>
      <c r="O430" s="3" t="str">
        <f t="shared" si="7"/>
        <v>LOSS</v>
      </c>
      <c r="P430" s="3">
        <f t="shared" si="8"/>
        <v>1</v>
      </c>
      <c r="Q430" s="3">
        <f t="shared" si="9"/>
        <v>0</v>
      </c>
      <c r="R430" s="12">
        <f t="shared" si="10"/>
        <v>0</v>
      </c>
    </row>
    <row r="431">
      <c r="A431" s="3" t="s">
        <v>470</v>
      </c>
      <c r="B431" s="4">
        <v>46189.0</v>
      </c>
      <c r="C431" s="4" t="str">
        <f t="shared" si="1"/>
        <v>June</v>
      </c>
      <c r="D431" s="3" t="s">
        <v>30</v>
      </c>
      <c r="E431" s="3" t="s">
        <v>15</v>
      </c>
      <c r="F431" s="3" t="s">
        <v>12</v>
      </c>
      <c r="G431" s="3" t="str">
        <f>VLOOKUP(F431, 'KODE PESAWAT'!$A$2:$C$42, 3, FALSE)</f>
        <v>AirAsia Group</v>
      </c>
      <c r="H431" s="10">
        <v>894000.0</v>
      </c>
      <c r="I431" s="10">
        <v>2235000.0</v>
      </c>
      <c r="J431" s="10">
        <f t="shared" si="2"/>
        <v>-1341000</v>
      </c>
      <c r="K431" s="11">
        <f t="shared" si="3"/>
        <v>-1.5</v>
      </c>
      <c r="L431" s="3" t="str">
        <f t="shared" si="4"/>
        <v>Over Buffer</v>
      </c>
      <c r="M431" s="10">
        <f t="shared" si="5"/>
        <v>-894000</v>
      </c>
      <c r="N431" s="3" t="str">
        <f t="shared" si="6"/>
        <v>Refund</v>
      </c>
      <c r="O431" s="3" t="str">
        <f t="shared" si="7"/>
        <v>N/A</v>
      </c>
      <c r="P431" s="3">
        <f t="shared" si="8"/>
        <v>0</v>
      </c>
      <c r="Q431" s="3">
        <f t="shared" si="9"/>
        <v>0</v>
      </c>
      <c r="R431" s="12">
        <f t="shared" si="10"/>
        <v>1</v>
      </c>
    </row>
    <row r="432">
      <c r="A432" s="3" t="s">
        <v>471</v>
      </c>
      <c r="B432" s="4">
        <v>46240.0</v>
      </c>
      <c r="C432" s="4" t="str">
        <f t="shared" si="1"/>
        <v>August</v>
      </c>
      <c r="D432" s="3" t="s">
        <v>18</v>
      </c>
      <c r="E432" s="3" t="s">
        <v>11</v>
      </c>
      <c r="F432" s="3" t="s">
        <v>12</v>
      </c>
      <c r="G432" s="3" t="str">
        <f>VLOOKUP(F432, 'KODE PESAWAT'!$A$2:$C$42, 3, FALSE)</f>
        <v>AirAsia Group</v>
      </c>
      <c r="H432" s="10">
        <v>1663000.0</v>
      </c>
      <c r="I432" s="10">
        <v>1912449.9999999998</v>
      </c>
      <c r="J432" s="10">
        <f t="shared" si="2"/>
        <v>-249450</v>
      </c>
      <c r="K432" s="11">
        <f t="shared" si="3"/>
        <v>-0.15</v>
      </c>
      <c r="L432" s="3" t="str">
        <f t="shared" si="4"/>
        <v>Fare Increase</v>
      </c>
      <c r="M432" s="10">
        <f t="shared" si="5"/>
        <v>249450</v>
      </c>
      <c r="N432" s="3" t="str">
        <f t="shared" si="6"/>
        <v>Issued</v>
      </c>
      <c r="O432" s="3" t="str">
        <f t="shared" si="7"/>
        <v>LOSS</v>
      </c>
      <c r="P432" s="3">
        <f t="shared" si="8"/>
        <v>1</v>
      </c>
      <c r="Q432" s="3">
        <f t="shared" si="9"/>
        <v>0</v>
      </c>
      <c r="R432" s="12">
        <f t="shared" si="10"/>
        <v>0</v>
      </c>
    </row>
    <row r="433">
      <c r="A433" s="3" t="s">
        <v>472</v>
      </c>
      <c r="B433" s="4">
        <v>46330.0</v>
      </c>
      <c r="C433" s="4" t="str">
        <f t="shared" si="1"/>
        <v>November</v>
      </c>
      <c r="D433" s="3" t="s">
        <v>18</v>
      </c>
      <c r="E433" s="3" t="s">
        <v>11</v>
      </c>
      <c r="F433" s="3" t="s">
        <v>35</v>
      </c>
      <c r="G433" s="3" t="str">
        <f>VLOOKUP(F433, 'KODE PESAWAT'!$A$2:$C$42, 3, FALSE)</f>
        <v>Lion Air Group</v>
      </c>
      <c r="H433" s="10">
        <v>1.0402E7</v>
      </c>
      <c r="I433" s="10">
        <v>1.19623E7</v>
      </c>
      <c r="J433" s="10">
        <f t="shared" si="2"/>
        <v>-1560300</v>
      </c>
      <c r="K433" s="11">
        <f t="shared" si="3"/>
        <v>-0.15</v>
      </c>
      <c r="L433" s="3" t="str">
        <f t="shared" si="4"/>
        <v>Fare Increase</v>
      </c>
      <c r="M433" s="10">
        <f t="shared" si="5"/>
        <v>1560300</v>
      </c>
      <c r="N433" s="3" t="str">
        <f t="shared" si="6"/>
        <v>Issued</v>
      </c>
      <c r="O433" s="3" t="str">
        <f t="shared" si="7"/>
        <v>LOSS</v>
      </c>
      <c r="P433" s="3">
        <f t="shared" si="8"/>
        <v>1</v>
      </c>
      <c r="Q433" s="3">
        <f t="shared" si="9"/>
        <v>0</v>
      </c>
      <c r="R433" s="12">
        <f t="shared" si="10"/>
        <v>0</v>
      </c>
    </row>
    <row r="434">
      <c r="A434" s="3" t="s">
        <v>473</v>
      </c>
      <c r="B434" s="4">
        <v>46285.0</v>
      </c>
      <c r="C434" s="4" t="str">
        <f t="shared" si="1"/>
        <v>September</v>
      </c>
      <c r="D434" s="3" t="s">
        <v>25</v>
      </c>
      <c r="E434" s="3" t="s">
        <v>15</v>
      </c>
      <c r="F434" s="3" t="s">
        <v>26</v>
      </c>
      <c r="G434" s="3" t="str">
        <f>VLOOKUP(F434, 'KODE PESAWAT'!$A$2:$C$42, 3, FALSE)</f>
        <v>VietJet Group</v>
      </c>
      <c r="H434" s="10">
        <v>545000.0</v>
      </c>
      <c r="I434" s="10">
        <v>763000.0</v>
      </c>
      <c r="J434" s="10">
        <f t="shared" si="2"/>
        <v>-218000</v>
      </c>
      <c r="K434" s="11">
        <f t="shared" si="3"/>
        <v>-0.4</v>
      </c>
      <c r="L434" s="3" t="str">
        <f t="shared" si="4"/>
        <v>Fare Increase</v>
      </c>
      <c r="M434" s="10">
        <f t="shared" si="5"/>
        <v>218000</v>
      </c>
      <c r="N434" s="3" t="str">
        <f t="shared" si="6"/>
        <v>Issued</v>
      </c>
      <c r="O434" s="3" t="str">
        <f t="shared" si="7"/>
        <v>LOSS</v>
      </c>
      <c r="P434" s="3">
        <f t="shared" si="8"/>
        <v>1</v>
      </c>
      <c r="Q434" s="3">
        <f t="shared" si="9"/>
        <v>0</v>
      </c>
      <c r="R434" s="12">
        <f t="shared" si="10"/>
        <v>0</v>
      </c>
    </row>
    <row r="435">
      <c r="A435" s="3" t="s">
        <v>474</v>
      </c>
      <c r="B435" s="4">
        <v>46198.0</v>
      </c>
      <c r="C435" s="4" t="str">
        <f t="shared" si="1"/>
        <v>June</v>
      </c>
      <c r="D435" s="3" t="s">
        <v>25</v>
      </c>
      <c r="E435" s="3" t="s">
        <v>15</v>
      </c>
      <c r="F435" s="3" t="s">
        <v>42</v>
      </c>
      <c r="G435" s="3" t="str">
        <f>VLOOKUP(F435, 'KODE PESAWAT'!$A$2:$C$42, 3, FALSE)</f>
        <v>Vietnam Airlines Group</v>
      </c>
      <c r="H435" s="10">
        <v>548000.0</v>
      </c>
      <c r="I435" s="10">
        <v>630200.0</v>
      </c>
      <c r="J435" s="10">
        <f t="shared" si="2"/>
        <v>-82200</v>
      </c>
      <c r="K435" s="11">
        <f t="shared" si="3"/>
        <v>-0.15</v>
      </c>
      <c r="L435" s="3" t="str">
        <f t="shared" si="4"/>
        <v>Fare Increase</v>
      </c>
      <c r="M435" s="10">
        <f t="shared" si="5"/>
        <v>82200</v>
      </c>
      <c r="N435" s="3" t="str">
        <f t="shared" si="6"/>
        <v>Issued</v>
      </c>
      <c r="O435" s="3" t="str">
        <f t="shared" si="7"/>
        <v>LOSS</v>
      </c>
      <c r="P435" s="3">
        <f t="shared" si="8"/>
        <v>1</v>
      </c>
      <c r="Q435" s="3">
        <f t="shared" si="9"/>
        <v>0</v>
      </c>
      <c r="R435" s="12">
        <f t="shared" si="10"/>
        <v>0</v>
      </c>
    </row>
    <row r="436">
      <c r="A436" s="3" t="s">
        <v>475</v>
      </c>
      <c r="B436" s="4">
        <v>46160.0</v>
      </c>
      <c r="C436" s="4" t="str">
        <f t="shared" si="1"/>
        <v>May</v>
      </c>
      <c r="D436" s="3" t="s">
        <v>14</v>
      </c>
      <c r="E436" s="3" t="s">
        <v>15</v>
      </c>
      <c r="F436" s="3" t="s">
        <v>63</v>
      </c>
      <c r="G436" s="3" t="str">
        <f>VLOOKUP(F436, 'KODE PESAWAT'!$A$2:$C$42, 3, FALSE)</f>
        <v>Lion Air Group</v>
      </c>
      <c r="H436" s="10">
        <v>1281000.0</v>
      </c>
      <c r="I436" s="10">
        <v>1473150.0</v>
      </c>
      <c r="J436" s="10">
        <f t="shared" si="2"/>
        <v>-192150</v>
      </c>
      <c r="K436" s="11">
        <f t="shared" si="3"/>
        <v>-0.15</v>
      </c>
      <c r="L436" s="3" t="str">
        <f t="shared" si="4"/>
        <v>Fare Increase</v>
      </c>
      <c r="M436" s="10">
        <f t="shared" si="5"/>
        <v>192150</v>
      </c>
      <c r="N436" s="3" t="str">
        <f t="shared" si="6"/>
        <v>Issued</v>
      </c>
      <c r="O436" s="3" t="str">
        <f t="shared" si="7"/>
        <v>LOSS</v>
      </c>
      <c r="P436" s="3">
        <f t="shared" si="8"/>
        <v>1</v>
      </c>
      <c r="Q436" s="3">
        <f t="shared" si="9"/>
        <v>0</v>
      </c>
      <c r="R436" s="12">
        <f t="shared" si="10"/>
        <v>0</v>
      </c>
    </row>
    <row r="437">
      <c r="A437" s="3" t="s">
        <v>476</v>
      </c>
      <c r="B437" s="4">
        <v>46091.0</v>
      </c>
      <c r="C437" s="4" t="str">
        <f t="shared" si="1"/>
        <v>March</v>
      </c>
      <c r="D437" s="3" t="s">
        <v>18</v>
      </c>
      <c r="E437" s="3" t="s">
        <v>11</v>
      </c>
      <c r="F437" s="3" t="s">
        <v>35</v>
      </c>
      <c r="G437" s="3" t="str">
        <f>VLOOKUP(F437, 'KODE PESAWAT'!$A$2:$C$42, 3, FALSE)</f>
        <v>Lion Air Group</v>
      </c>
      <c r="H437" s="10">
        <v>1.1743E7</v>
      </c>
      <c r="I437" s="10">
        <v>2.93575E7</v>
      </c>
      <c r="J437" s="10">
        <f t="shared" si="2"/>
        <v>-17614500</v>
      </c>
      <c r="K437" s="11">
        <f t="shared" si="3"/>
        <v>-1.5</v>
      </c>
      <c r="L437" s="3" t="str">
        <f t="shared" si="4"/>
        <v>Over Buffer</v>
      </c>
      <c r="M437" s="10">
        <f t="shared" si="5"/>
        <v>-11743000</v>
      </c>
      <c r="N437" s="3" t="str">
        <f t="shared" si="6"/>
        <v>Refund</v>
      </c>
      <c r="O437" s="3" t="str">
        <f t="shared" si="7"/>
        <v>N/A</v>
      </c>
      <c r="P437" s="3">
        <f t="shared" si="8"/>
        <v>0</v>
      </c>
      <c r="Q437" s="3">
        <f t="shared" si="9"/>
        <v>0</v>
      </c>
      <c r="R437" s="12">
        <f t="shared" si="10"/>
        <v>1</v>
      </c>
    </row>
    <row r="438">
      <c r="A438" s="3" t="s">
        <v>477</v>
      </c>
      <c r="B438" s="4">
        <v>46146.0</v>
      </c>
      <c r="C438" s="4" t="str">
        <f t="shared" si="1"/>
        <v>May</v>
      </c>
      <c r="D438" s="3" t="s">
        <v>14</v>
      </c>
      <c r="E438" s="3" t="s">
        <v>15</v>
      </c>
      <c r="F438" s="3" t="s">
        <v>63</v>
      </c>
      <c r="G438" s="3" t="str">
        <f>VLOOKUP(F438, 'KODE PESAWAT'!$A$2:$C$42, 3, FALSE)</f>
        <v>Lion Air Group</v>
      </c>
      <c r="H438" s="10">
        <v>1335000.0</v>
      </c>
      <c r="I438" s="10">
        <v>1868999.9999999998</v>
      </c>
      <c r="J438" s="10">
        <f t="shared" si="2"/>
        <v>-534000</v>
      </c>
      <c r="K438" s="11">
        <f t="shared" si="3"/>
        <v>-0.4</v>
      </c>
      <c r="L438" s="3" t="str">
        <f t="shared" si="4"/>
        <v>Fare Increase</v>
      </c>
      <c r="M438" s="10">
        <f t="shared" si="5"/>
        <v>534000</v>
      </c>
      <c r="N438" s="3" t="str">
        <f t="shared" si="6"/>
        <v>Issued</v>
      </c>
      <c r="O438" s="3" t="str">
        <f t="shared" si="7"/>
        <v>LOSS</v>
      </c>
      <c r="P438" s="3">
        <f t="shared" si="8"/>
        <v>1</v>
      </c>
      <c r="Q438" s="3">
        <f t="shared" si="9"/>
        <v>0</v>
      </c>
      <c r="R438" s="12">
        <f t="shared" si="10"/>
        <v>0</v>
      </c>
    </row>
    <row r="439">
      <c r="A439" s="3" t="s">
        <v>478</v>
      </c>
      <c r="B439" s="4">
        <v>46195.0</v>
      </c>
      <c r="C439" s="4" t="str">
        <f t="shared" si="1"/>
        <v>June</v>
      </c>
      <c r="D439" s="3" t="s">
        <v>23</v>
      </c>
      <c r="E439" s="3" t="s">
        <v>15</v>
      </c>
      <c r="F439" s="3" t="s">
        <v>31</v>
      </c>
      <c r="G439" s="3" t="str">
        <f>VLOOKUP(F439, 'KODE PESAWAT'!$A$2:$C$42, 3, FALSE)</f>
        <v>Garuda Indonesia Group</v>
      </c>
      <c r="H439" s="10">
        <v>1.3466E7</v>
      </c>
      <c r="I439" s="10">
        <v>1.5485899999999998E7</v>
      </c>
      <c r="J439" s="10">
        <f t="shared" si="2"/>
        <v>-2019900</v>
      </c>
      <c r="K439" s="11">
        <f t="shared" si="3"/>
        <v>-0.15</v>
      </c>
      <c r="L439" s="3" t="str">
        <f t="shared" si="4"/>
        <v>Fare Increase</v>
      </c>
      <c r="M439" s="10">
        <f t="shared" si="5"/>
        <v>2019900</v>
      </c>
      <c r="N439" s="3" t="str">
        <f t="shared" si="6"/>
        <v>Issued</v>
      </c>
      <c r="O439" s="3" t="str">
        <f t="shared" si="7"/>
        <v>LOSS</v>
      </c>
      <c r="P439" s="3">
        <f t="shared" si="8"/>
        <v>1</v>
      </c>
      <c r="Q439" s="3">
        <f t="shared" si="9"/>
        <v>0</v>
      </c>
      <c r="R439" s="12">
        <f t="shared" si="10"/>
        <v>0</v>
      </c>
    </row>
    <row r="440">
      <c r="A440" s="3" t="s">
        <v>479</v>
      </c>
      <c r="B440" s="4">
        <v>46228.0</v>
      </c>
      <c r="C440" s="4" t="str">
        <f t="shared" si="1"/>
        <v>July</v>
      </c>
      <c r="D440" s="3" t="s">
        <v>23</v>
      </c>
      <c r="E440" s="3" t="s">
        <v>15</v>
      </c>
      <c r="F440" s="3" t="s">
        <v>19</v>
      </c>
      <c r="G440" s="3" t="str">
        <f>VLOOKUP(F440, 'KODE PESAWAT'!$A$2:$C$42, 3, FALSE)</f>
        <v>Lion Air Group</v>
      </c>
      <c r="H440" s="10">
        <v>1069000.0</v>
      </c>
      <c r="I440" s="10">
        <v>1496600.0</v>
      </c>
      <c r="J440" s="10">
        <f t="shared" si="2"/>
        <v>-427600</v>
      </c>
      <c r="K440" s="11">
        <f t="shared" si="3"/>
        <v>-0.4</v>
      </c>
      <c r="L440" s="3" t="str">
        <f t="shared" si="4"/>
        <v>Fare Increase</v>
      </c>
      <c r="M440" s="10">
        <f t="shared" si="5"/>
        <v>427600</v>
      </c>
      <c r="N440" s="3" t="str">
        <f t="shared" si="6"/>
        <v>Issued</v>
      </c>
      <c r="O440" s="3" t="str">
        <f t="shared" si="7"/>
        <v>LOSS</v>
      </c>
      <c r="P440" s="3">
        <f t="shared" si="8"/>
        <v>1</v>
      </c>
      <c r="Q440" s="3">
        <f t="shared" si="9"/>
        <v>0</v>
      </c>
      <c r="R440" s="12">
        <f t="shared" si="10"/>
        <v>0</v>
      </c>
    </row>
    <row r="441">
      <c r="A441" s="3" t="s">
        <v>480</v>
      </c>
      <c r="B441" s="4">
        <v>46151.0</v>
      </c>
      <c r="C441" s="4" t="str">
        <f t="shared" si="1"/>
        <v>May</v>
      </c>
      <c r="D441" s="3" t="s">
        <v>23</v>
      </c>
      <c r="E441" s="3" t="s">
        <v>15</v>
      </c>
      <c r="F441" s="3" t="s">
        <v>19</v>
      </c>
      <c r="G441" s="3" t="str">
        <f>VLOOKUP(F441, 'KODE PESAWAT'!$A$2:$C$42, 3, FALSE)</f>
        <v>Lion Air Group</v>
      </c>
      <c r="H441" s="10">
        <v>519000.0</v>
      </c>
      <c r="I441" s="10">
        <v>1297500.0</v>
      </c>
      <c r="J441" s="10">
        <f t="shared" si="2"/>
        <v>-778500</v>
      </c>
      <c r="K441" s="11">
        <f t="shared" si="3"/>
        <v>-1.5</v>
      </c>
      <c r="L441" s="3" t="str">
        <f t="shared" si="4"/>
        <v>Over Buffer</v>
      </c>
      <c r="M441" s="10">
        <f t="shared" si="5"/>
        <v>-519000</v>
      </c>
      <c r="N441" s="3" t="str">
        <f t="shared" si="6"/>
        <v>Refund</v>
      </c>
      <c r="O441" s="3" t="str">
        <f t="shared" si="7"/>
        <v>N/A</v>
      </c>
      <c r="P441" s="3">
        <f t="shared" si="8"/>
        <v>0</v>
      </c>
      <c r="Q441" s="3">
        <f t="shared" si="9"/>
        <v>0</v>
      </c>
      <c r="R441" s="12">
        <f t="shared" si="10"/>
        <v>1</v>
      </c>
    </row>
    <row r="442">
      <c r="A442" s="3" t="s">
        <v>481</v>
      </c>
      <c r="B442" s="4">
        <v>46287.0</v>
      </c>
      <c r="C442" s="4" t="str">
        <f t="shared" si="1"/>
        <v>September</v>
      </c>
      <c r="D442" s="3" t="s">
        <v>23</v>
      </c>
      <c r="E442" s="3" t="s">
        <v>15</v>
      </c>
      <c r="F442" s="3" t="s">
        <v>19</v>
      </c>
      <c r="G442" s="3" t="str">
        <f>VLOOKUP(F442, 'KODE PESAWAT'!$A$2:$C$42, 3, FALSE)</f>
        <v>Lion Air Group</v>
      </c>
      <c r="H442" s="10">
        <v>1.0708E7</v>
      </c>
      <c r="I442" s="10">
        <v>2.677E7</v>
      </c>
      <c r="J442" s="10">
        <f t="shared" si="2"/>
        <v>-16062000</v>
      </c>
      <c r="K442" s="11">
        <f t="shared" si="3"/>
        <v>-1.5</v>
      </c>
      <c r="L442" s="3" t="str">
        <f t="shared" si="4"/>
        <v>Over Buffer</v>
      </c>
      <c r="M442" s="10">
        <f t="shared" si="5"/>
        <v>-10708000</v>
      </c>
      <c r="N442" s="3" t="str">
        <f t="shared" si="6"/>
        <v>Refund</v>
      </c>
      <c r="O442" s="3" t="str">
        <f t="shared" si="7"/>
        <v>N/A</v>
      </c>
      <c r="P442" s="3">
        <f t="shared" si="8"/>
        <v>0</v>
      </c>
      <c r="Q442" s="3">
        <f t="shared" si="9"/>
        <v>0</v>
      </c>
      <c r="R442" s="12">
        <f t="shared" si="10"/>
        <v>1</v>
      </c>
    </row>
    <row r="443">
      <c r="A443" s="3" t="s">
        <v>482</v>
      </c>
      <c r="B443" s="4">
        <v>46137.0</v>
      </c>
      <c r="C443" s="4" t="str">
        <f t="shared" si="1"/>
        <v>April</v>
      </c>
      <c r="D443" s="3" t="s">
        <v>25</v>
      </c>
      <c r="E443" s="3" t="s">
        <v>15</v>
      </c>
      <c r="F443" s="3" t="s">
        <v>61</v>
      </c>
      <c r="G443" s="3" t="str">
        <f>VLOOKUP(F443, 'KODE PESAWAT'!$A$2:$C$42, 3, FALSE)</f>
        <v>Vietravel Group</v>
      </c>
      <c r="H443" s="10">
        <v>1540000.0</v>
      </c>
      <c r="I443" s="10">
        <v>1770999.9999999998</v>
      </c>
      <c r="J443" s="10">
        <f t="shared" si="2"/>
        <v>-231000</v>
      </c>
      <c r="K443" s="11">
        <f t="shared" si="3"/>
        <v>-0.15</v>
      </c>
      <c r="L443" s="3" t="str">
        <f t="shared" si="4"/>
        <v>Fare Increase</v>
      </c>
      <c r="M443" s="10">
        <f t="shared" si="5"/>
        <v>231000</v>
      </c>
      <c r="N443" s="3" t="str">
        <f t="shared" si="6"/>
        <v>Issued</v>
      </c>
      <c r="O443" s="3" t="str">
        <f t="shared" si="7"/>
        <v>LOSS</v>
      </c>
      <c r="P443" s="3">
        <f t="shared" si="8"/>
        <v>1</v>
      </c>
      <c r="Q443" s="3">
        <f t="shared" si="9"/>
        <v>0</v>
      </c>
      <c r="R443" s="12">
        <f t="shared" si="10"/>
        <v>0</v>
      </c>
    </row>
    <row r="444">
      <c r="A444" s="3" t="s">
        <v>483</v>
      </c>
      <c r="B444" s="4">
        <v>46174.0</v>
      </c>
      <c r="C444" s="4" t="str">
        <f t="shared" si="1"/>
        <v>June</v>
      </c>
      <c r="D444" s="3" t="s">
        <v>30</v>
      </c>
      <c r="E444" s="3" t="s">
        <v>15</v>
      </c>
      <c r="F444" s="3" t="s">
        <v>31</v>
      </c>
      <c r="G444" s="3" t="str">
        <f>VLOOKUP(F444, 'KODE PESAWAT'!$A$2:$C$42, 3, FALSE)</f>
        <v>Garuda Indonesia Group</v>
      </c>
      <c r="H444" s="10">
        <v>1.0905E7</v>
      </c>
      <c r="I444" s="10">
        <v>1.5266999999999998E7</v>
      </c>
      <c r="J444" s="10">
        <f t="shared" si="2"/>
        <v>-4362000</v>
      </c>
      <c r="K444" s="11">
        <f t="shared" si="3"/>
        <v>-0.4</v>
      </c>
      <c r="L444" s="3" t="str">
        <f t="shared" si="4"/>
        <v>Fare Increase</v>
      </c>
      <c r="M444" s="10">
        <f t="shared" si="5"/>
        <v>4362000</v>
      </c>
      <c r="N444" s="3" t="str">
        <f t="shared" si="6"/>
        <v>Issued</v>
      </c>
      <c r="O444" s="3" t="str">
        <f t="shared" si="7"/>
        <v>LOSS</v>
      </c>
      <c r="P444" s="3">
        <f t="shared" si="8"/>
        <v>1</v>
      </c>
      <c r="Q444" s="3">
        <f t="shared" si="9"/>
        <v>0</v>
      </c>
      <c r="R444" s="12">
        <f t="shared" si="10"/>
        <v>0</v>
      </c>
    </row>
    <row r="445">
      <c r="A445" s="3" t="s">
        <v>484</v>
      </c>
      <c r="B445" s="4">
        <v>46344.0</v>
      </c>
      <c r="C445" s="4" t="str">
        <f t="shared" si="1"/>
        <v>November</v>
      </c>
      <c r="D445" s="3" t="s">
        <v>25</v>
      </c>
      <c r="E445" s="3" t="s">
        <v>15</v>
      </c>
      <c r="F445" s="3" t="s">
        <v>116</v>
      </c>
      <c r="G445" s="3" t="str">
        <f>VLOOKUP(F445, 'KODE PESAWAT'!$A$2:$C$42, 3, FALSE)</f>
        <v>VietJet Group</v>
      </c>
      <c r="H445" s="10">
        <v>1.3333E7</v>
      </c>
      <c r="I445" s="10">
        <v>1.266635E7</v>
      </c>
      <c r="J445" s="10">
        <f t="shared" si="2"/>
        <v>666650</v>
      </c>
      <c r="K445" s="11">
        <f t="shared" si="3"/>
        <v>0.05</v>
      </c>
      <c r="L445" s="3" t="str">
        <f t="shared" si="4"/>
        <v>Normal</v>
      </c>
      <c r="M445" s="10">
        <f t="shared" si="5"/>
        <v>-666650</v>
      </c>
      <c r="N445" s="3" t="str">
        <f t="shared" si="6"/>
        <v>Issued</v>
      </c>
      <c r="O445" s="3" t="str">
        <f t="shared" si="7"/>
        <v>PROFIT</v>
      </c>
      <c r="P445" s="3">
        <f t="shared" si="8"/>
        <v>1</v>
      </c>
      <c r="Q445" s="3">
        <f t="shared" si="9"/>
        <v>1</v>
      </c>
      <c r="R445" s="12">
        <f t="shared" si="10"/>
        <v>0</v>
      </c>
    </row>
    <row r="446">
      <c r="A446" s="3" t="s">
        <v>485</v>
      </c>
      <c r="B446" s="4">
        <v>46037.0</v>
      </c>
      <c r="C446" s="4" t="str">
        <f t="shared" si="1"/>
        <v>January</v>
      </c>
      <c r="D446" s="3" t="s">
        <v>23</v>
      </c>
      <c r="E446" s="3" t="s">
        <v>15</v>
      </c>
      <c r="F446" s="3" t="s">
        <v>33</v>
      </c>
      <c r="G446" s="3" t="str">
        <f>VLOOKUP(F446, 'KODE PESAWAT'!$A$2:$C$42, 3, FALSE)</f>
        <v>Garuda Indonesia Group</v>
      </c>
      <c r="H446" s="10">
        <v>1715000.0</v>
      </c>
      <c r="I446" s="10">
        <v>1629250.0</v>
      </c>
      <c r="J446" s="10">
        <f t="shared" si="2"/>
        <v>85750</v>
      </c>
      <c r="K446" s="11">
        <f t="shared" si="3"/>
        <v>0.05</v>
      </c>
      <c r="L446" s="3" t="str">
        <f t="shared" si="4"/>
        <v>Normal</v>
      </c>
      <c r="M446" s="10">
        <f t="shared" si="5"/>
        <v>-85750</v>
      </c>
      <c r="N446" s="3" t="str">
        <f t="shared" si="6"/>
        <v>Issued</v>
      </c>
      <c r="O446" s="3" t="str">
        <f t="shared" si="7"/>
        <v>PROFIT</v>
      </c>
      <c r="P446" s="3">
        <f t="shared" si="8"/>
        <v>1</v>
      </c>
      <c r="Q446" s="3">
        <f t="shared" si="9"/>
        <v>1</v>
      </c>
      <c r="R446" s="12">
        <f t="shared" si="10"/>
        <v>0</v>
      </c>
    </row>
    <row r="447">
      <c r="A447" s="3" t="s">
        <v>486</v>
      </c>
      <c r="B447" s="4">
        <v>46105.0</v>
      </c>
      <c r="C447" s="4" t="str">
        <f t="shared" si="1"/>
        <v>March</v>
      </c>
      <c r="D447" s="3" t="s">
        <v>23</v>
      </c>
      <c r="E447" s="3" t="s">
        <v>15</v>
      </c>
      <c r="F447" s="3" t="s">
        <v>31</v>
      </c>
      <c r="G447" s="3" t="str">
        <f>VLOOKUP(F447, 'KODE PESAWAT'!$A$2:$C$42, 3, FALSE)</f>
        <v>Garuda Indonesia Group</v>
      </c>
      <c r="H447" s="10">
        <v>1656000.0</v>
      </c>
      <c r="I447" s="10">
        <v>1573200.0</v>
      </c>
      <c r="J447" s="10">
        <f t="shared" si="2"/>
        <v>82800</v>
      </c>
      <c r="K447" s="11">
        <f t="shared" si="3"/>
        <v>0.05</v>
      </c>
      <c r="L447" s="3" t="str">
        <f t="shared" si="4"/>
        <v>Normal</v>
      </c>
      <c r="M447" s="10">
        <f t="shared" si="5"/>
        <v>-82800</v>
      </c>
      <c r="N447" s="3" t="str">
        <f t="shared" si="6"/>
        <v>Issued</v>
      </c>
      <c r="O447" s="3" t="str">
        <f t="shared" si="7"/>
        <v>PROFIT</v>
      </c>
      <c r="P447" s="3">
        <f t="shared" si="8"/>
        <v>1</v>
      </c>
      <c r="Q447" s="3">
        <f t="shared" si="9"/>
        <v>1</v>
      </c>
      <c r="R447" s="12">
        <f t="shared" si="10"/>
        <v>0</v>
      </c>
    </row>
    <row r="448">
      <c r="A448" s="3" t="s">
        <v>487</v>
      </c>
      <c r="B448" s="4">
        <v>46214.0</v>
      </c>
      <c r="C448" s="4" t="str">
        <f t="shared" si="1"/>
        <v>July</v>
      </c>
      <c r="D448" s="3" t="s">
        <v>23</v>
      </c>
      <c r="E448" s="3" t="s">
        <v>15</v>
      </c>
      <c r="F448" s="3" t="s">
        <v>33</v>
      </c>
      <c r="G448" s="3" t="str">
        <f>VLOOKUP(F448, 'KODE PESAWAT'!$A$2:$C$42, 3, FALSE)</f>
        <v>Garuda Indonesia Group</v>
      </c>
      <c r="H448" s="10">
        <v>9381000.0</v>
      </c>
      <c r="I448" s="10">
        <v>1.31334E7</v>
      </c>
      <c r="J448" s="10">
        <f t="shared" si="2"/>
        <v>-3752400</v>
      </c>
      <c r="K448" s="11">
        <f t="shared" si="3"/>
        <v>-0.4</v>
      </c>
      <c r="L448" s="3" t="str">
        <f t="shared" si="4"/>
        <v>Fare Increase</v>
      </c>
      <c r="M448" s="10">
        <f t="shared" si="5"/>
        <v>3752400</v>
      </c>
      <c r="N448" s="3" t="str">
        <f t="shared" si="6"/>
        <v>Issued</v>
      </c>
      <c r="O448" s="3" t="str">
        <f t="shared" si="7"/>
        <v>LOSS</v>
      </c>
      <c r="P448" s="3">
        <f t="shared" si="8"/>
        <v>1</v>
      </c>
      <c r="Q448" s="3">
        <f t="shared" si="9"/>
        <v>0</v>
      </c>
      <c r="R448" s="12">
        <f t="shared" si="10"/>
        <v>0</v>
      </c>
    </row>
    <row r="449">
      <c r="A449" s="3" t="s">
        <v>488</v>
      </c>
      <c r="B449" s="4">
        <v>46288.0</v>
      </c>
      <c r="C449" s="4" t="str">
        <f t="shared" si="1"/>
        <v>September</v>
      </c>
      <c r="D449" s="3" t="s">
        <v>23</v>
      </c>
      <c r="E449" s="3" t="s">
        <v>15</v>
      </c>
      <c r="F449" s="3" t="s">
        <v>33</v>
      </c>
      <c r="G449" s="3" t="str">
        <f>VLOOKUP(F449, 'KODE PESAWAT'!$A$2:$C$42, 3, FALSE)</f>
        <v>Garuda Indonesia Group</v>
      </c>
      <c r="H449" s="10">
        <v>1121000.0</v>
      </c>
      <c r="I449" s="10">
        <v>1569400.0</v>
      </c>
      <c r="J449" s="10">
        <f t="shared" si="2"/>
        <v>-448400</v>
      </c>
      <c r="K449" s="11">
        <f t="shared" si="3"/>
        <v>-0.4</v>
      </c>
      <c r="L449" s="3" t="str">
        <f t="shared" si="4"/>
        <v>Fare Increase</v>
      </c>
      <c r="M449" s="10">
        <f t="shared" si="5"/>
        <v>448400</v>
      </c>
      <c r="N449" s="3" t="str">
        <f t="shared" si="6"/>
        <v>Issued</v>
      </c>
      <c r="O449" s="3" t="str">
        <f t="shared" si="7"/>
        <v>LOSS</v>
      </c>
      <c r="P449" s="3">
        <f t="shared" si="8"/>
        <v>1</v>
      </c>
      <c r="Q449" s="3">
        <f t="shared" si="9"/>
        <v>0</v>
      </c>
      <c r="R449" s="12">
        <f t="shared" si="10"/>
        <v>0</v>
      </c>
    </row>
    <row r="450">
      <c r="A450" s="3" t="s">
        <v>489</v>
      </c>
      <c r="B450" s="4">
        <v>46128.0</v>
      </c>
      <c r="C450" s="4" t="str">
        <f t="shared" si="1"/>
        <v>April</v>
      </c>
      <c r="D450" s="3" t="s">
        <v>25</v>
      </c>
      <c r="E450" s="3" t="s">
        <v>15</v>
      </c>
      <c r="F450" s="3" t="s">
        <v>116</v>
      </c>
      <c r="G450" s="3" t="str">
        <f>VLOOKUP(F450, 'KODE PESAWAT'!$A$2:$C$42, 3, FALSE)</f>
        <v>VietJet Group</v>
      </c>
      <c r="H450" s="10">
        <v>1769000.0</v>
      </c>
      <c r="I450" s="10">
        <v>4422500.0</v>
      </c>
      <c r="J450" s="10">
        <f t="shared" si="2"/>
        <v>-2653500</v>
      </c>
      <c r="K450" s="11">
        <f t="shared" si="3"/>
        <v>-1.5</v>
      </c>
      <c r="L450" s="3" t="str">
        <f t="shared" si="4"/>
        <v>Over Buffer</v>
      </c>
      <c r="M450" s="10">
        <f t="shared" si="5"/>
        <v>-1769000</v>
      </c>
      <c r="N450" s="3" t="str">
        <f t="shared" si="6"/>
        <v>Refund</v>
      </c>
      <c r="O450" s="3" t="str">
        <f t="shared" si="7"/>
        <v>N/A</v>
      </c>
      <c r="P450" s="3">
        <f t="shared" si="8"/>
        <v>0</v>
      </c>
      <c r="Q450" s="3">
        <f t="shared" si="9"/>
        <v>0</v>
      </c>
      <c r="R450" s="12">
        <f t="shared" si="10"/>
        <v>1</v>
      </c>
    </row>
    <row r="451">
      <c r="A451" s="3" t="s">
        <v>490</v>
      </c>
      <c r="B451" s="4">
        <v>46370.0</v>
      </c>
      <c r="C451" s="4" t="str">
        <f t="shared" si="1"/>
        <v>December</v>
      </c>
      <c r="D451" s="3" t="s">
        <v>30</v>
      </c>
      <c r="E451" s="3" t="s">
        <v>15</v>
      </c>
      <c r="F451" s="3" t="s">
        <v>161</v>
      </c>
      <c r="G451" s="3" t="str">
        <f>VLOOKUP(F451, 'KODE PESAWAT'!$A$2:$C$42, 3, FALSE)</f>
        <v>Lion Air Group</v>
      </c>
      <c r="H451" s="10">
        <v>3237000.0</v>
      </c>
      <c r="I451" s="10">
        <v>3075150.0</v>
      </c>
      <c r="J451" s="10">
        <f t="shared" si="2"/>
        <v>161850</v>
      </c>
      <c r="K451" s="11">
        <f t="shared" si="3"/>
        <v>0.05</v>
      </c>
      <c r="L451" s="3" t="str">
        <f t="shared" si="4"/>
        <v>Normal</v>
      </c>
      <c r="M451" s="10">
        <f t="shared" si="5"/>
        <v>-161850</v>
      </c>
      <c r="N451" s="3" t="str">
        <f t="shared" si="6"/>
        <v>Issued</v>
      </c>
      <c r="O451" s="3" t="str">
        <f t="shared" si="7"/>
        <v>PROFIT</v>
      </c>
      <c r="P451" s="3">
        <f t="shared" si="8"/>
        <v>1</v>
      </c>
      <c r="Q451" s="3">
        <f t="shared" si="9"/>
        <v>1</v>
      </c>
      <c r="R451" s="12">
        <f t="shared" si="10"/>
        <v>0</v>
      </c>
    </row>
    <row r="452">
      <c r="A452" s="3" t="s">
        <v>491</v>
      </c>
      <c r="B452" s="4">
        <v>46282.0</v>
      </c>
      <c r="C452" s="4" t="str">
        <f t="shared" si="1"/>
        <v>September</v>
      </c>
      <c r="D452" s="3" t="s">
        <v>30</v>
      </c>
      <c r="E452" s="3" t="s">
        <v>15</v>
      </c>
      <c r="F452" s="3" t="s">
        <v>35</v>
      </c>
      <c r="G452" s="3" t="str">
        <f>VLOOKUP(F452, 'KODE PESAWAT'!$A$2:$C$42, 3, FALSE)</f>
        <v>Lion Air Group</v>
      </c>
      <c r="H452" s="10">
        <v>771000.0</v>
      </c>
      <c r="I452" s="10">
        <v>886649.9999999999</v>
      </c>
      <c r="J452" s="10">
        <f t="shared" si="2"/>
        <v>-115650</v>
      </c>
      <c r="K452" s="11">
        <f t="shared" si="3"/>
        <v>-0.15</v>
      </c>
      <c r="L452" s="3" t="str">
        <f t="shared" si="4"/>
        <v>Fare Increase</v>
      </c>
      <c r="M452" s="10">
        <f t="shared" si="5"/>
        <v>115650</v>
      </c>
      <c r="N452" s="3" t="str">
        <f t="shared" si="6"/>
        <v>Issued</v>
      </c>
      <c r="O452" s="3" t="str">
        <f t="shared" si="7"/>
        <v>LOSS</v>
      </c>
      <c r="P452" s="3">
        <f t="shared" si="8"/>
        <v>1</v>
      </c>
      <c r="Q452" s="3">
        <f t="shared" si="9"/>
        <v>0</v>
      </c>
      <c r="R452" s="12">
        <f t="shared" si="10"/>
        <v>0</v>
      </c>
    </row>
    <row r="453">
      <c r="A453" s="3" t="s">
        <v>492</v>
      </c>
      <c r="B453" s="4">
        <v>46076.0</v>
      </c>
      <c r="C453" s="4" t="str">
        <f t="shared" si="1"/>
        <v>February</v>
      </c>
      <c r="D453" s="3" t="s">
        <v>18</v>
      </c>
      <c r="E453" s="3" t="s">
        <v>11</v>
      </c>
      <c r="F453" s="3" t="s">
        <v>12</v>
      </c>
      <c r="G453" s="3" t="str">
        <f>VLOOKUP(F453, 'KODE PESAWAT'!$A$2:$C$42, 3, FALSE)</f>
        <v>AirAsia Group</v>
      </c>
      <c r="H453" s="10">
        <v>1225000.0</v>
      </c>
      <c r="I453" s="10">
        <v>1715000.0</v>
      </c>
      <c r="J453" s="10">
        <f t="shared" si="2"/>
        <v>-490000</v>
      </c>
      <c r="K453" s="11">
        <f t="shared" si="3"/>
        <v>-0.4</v>
      </c>
      <c r="L453" s="3" t="str">
        <f t="shared" si="4"/>
        <v>Fare Increase</v>
      </c>
      <c r="M453" s="10">
        <f t="shared" si="5"/>
        <v>490000</v>
      </c>
      <c r="N453" s="3" t="str">
        <f t="shared" si="6"/>
        <v>Issued</v>
      </c>
      <c r="O453" s="3" t="str">
        <f t="shared" si="7"/>
        <v>LOSS</v>
      </c>
      <c r="P453" s="3">
        <f t="shared" si="8"/>
        <v>1</v>
      </c>
      <c r="Q453" s="3">
        <f t="shared" si="9"/>
        <v>0</v>
      </c>
      <c r="R453" s="12">
        <f t="shared" si="10"/>
        <v>0</v>
      </c>
    </row>
    <row r="454">
      <c r="A454" s="3" t="s">
        <v>493</v>
      </c>
      <c r="B454" s="4">
        <v>46358.0</v>
      </c>
      <c r="C454" s="4" t="str">
        <f t="shared" si="1"/>
        <v>December</v>
      </c>
      <c r="D454" s="3" t="s">
        <v>14</v>
      </c>
      <c r="E454" s="3" t="s">
        <v>15</v>
      </c>
      <c r="F454" s="3" t="s">
        <v>16</v>
      </c>
      <c r="G454" s="3" t="str">
        <f>VLOOKUP(F454, 'KODE PESAWAT'!$A$2:$C$42, 3, FALSE)</f>
        <v>Thai Airways Group (Associate)</v>
      </c>
      <c r="H454" s="10">
        <v>503000.0</v>
      </c>
      <c r="I454" s="10">
        <v>578450.0</v>
      </c>
      <c r="J454" s="10">
        <f t="shared" si="2"/>
        <v>-75450</v>
      </c>
      <c r="K454" s="11">
        <f t="shared" si="3"/>
        <v>-0.15</v>
      </c>
      <c r="L454" s="3" t="str">
        <f t="shared" si="4"/>
        <v>Fare Increase</v>
      </c>
      <c r="M454" s="10">
        <f t="shared" si="5"/>
        <v>75450</v>
      </c>
      <c r="N454" s="3" t="str">
        <f t="shared" si="6"/>
        <v>Issued</v>
      </c>
      <c r="O454" s="3" t="str">
        <f t="shared" si="7"/>
        <v>LOSS</v>
      </c>
      <c r="P454" s="3">
        <f t="shared" si="8"/>
        <v>1</v>
      </c>
      <c r="Q454" s="3">
        <f t="shared" si="9"/>
        <v>0</v>
      </c>
      <c r="R454" s="12">
        <f t="shared" si="10"/>
        <v>0</v>
      </c>
    </row>
    <row r="455">
      <c r="A455" s="3" t="s">
        <v>494</v>
      </c>
      <c r="B455" s="4">
        <v>46195.0</v>
      </c>
      <c r="C455" s="4" t="str">
        <f t="shared" si="1"/>
        <v>June</v>
      </c>
      <c r="D455" s="3" t="s">
        <v>18</v>
      </c>
      <c r="E455" s="3" t="s">
        <v>11</v>
      </c>
      <c r="F455" s="3" t="s">
        <v>35</v>
      </c>
      <c r="G455" s="3" t="str">
        <f>VLOOKUP(F455, 'KODE PESAWAT'!$A$2:$C$42, 3, FALSE)</f>
        <v>Lion Air Group</v>
      </c>
      <c r="H455" s="10">
        <v>1.4457E7</v>
      </c>
      <c r="I455" s="10">
        <v>2.02398E7</v>
      </c>
      <c r="J455" s="10">
        <f t="shared" si="2"/>
        <v>-5782800</v>
      </c>
      <c r="K455" s="11">
        <f t="shared" si="3"/>
        <v>-0.4</v>
      </c>
      <c r="L455" s="3" t="str">
        <f t="shared" si="4"/>
        <v>Fare Increase</v>
      </c>
      <c r="M455" s="10">
        <f t="shared" si="5"/>
        <v>5782800</v>
      </c>
      <c r="N455" s="3" t="str">
        <f t="shared" si="6"/>
        <v>Issued</v>
      </c>
      <c r="O455" s="3" t="str">
        <f t="shared" si="7"/>
        <v>LOSS</v>
      </c>
      <c r="P455" s="3">
        <f t="shared" si="8"/>
        <v>1</v>
      </c>
      <c r="Q455" s="3">
        <f t="shared" si="9"/>
        <v>0</v>
      </c>
      <c r="R455" s="12">
        <f t="shared" si="10"/>
        <v>0</v>
      </c>
    </row>
    <row r="456">
      <c r="A456" s="3" t="s">
        <v>495</v>
      </c>
      <c r="B456" s="4">
        <v>46125.0</v>
      </c>
      <c r="C456" s="4" t="str">
        <f t="shared" si="1"/>
        <v>April</v>
      </c>
      <c r="D456" s="3" t="s">
        <v>14</v>
      </c>
      <c r="E456" s="3" t="s">
        <v>15</v>
      </c>
      <c r="F456" s="3" t="s">
        <v>16</v>
      </c>
      <c r="G456" s="3" t="str">
        <f>VLOOKUP(F456, 'KODE PESAWAT'!$A$2:$C$42, 3, FALSE)</f>
        <v>Thai Airways Group (Associate)</v>
      </c>
      <c r="H456" s="10">
        <v>1284000.0</v>
      </c>
      <c r="I456" s="10">
        <v>1797600.0</v>
      </c>
      <c r="J456" s="10">
        <f t="shared" si="2"/>
        <v>-513600</v>
      </c>
      <c r="K456" s="11">
        <f t="shared" si="3"/>
        <v>-0.4</v>
      </c>
      <c r="L456" s="3" t="str">
        <f t="shared" si="4"/>
        <v>Fare Increase</v>
      </c>
      <c r="M456" s="10">
        <f t="shared" si="5"/>
        <v>513600</v>
      </c>
      <c r="N456" s="3" t="str">
        <f t="shared" si="6"/>
        <v>Issued</v>
      </c>
      <c r="O456" s="3" t="str">
        <f t="shared" si="7"/>
        <v>LOSS</v>
      </c>
      <c r="P456" s="3">
        <f t="shared" si="8"/>
        <v>1</v>
      </c>
      <c r="Q456" s="3">
        <f t="shared" si="9"/>
        <v>0</v>
      </c>
      <c r="R456" s="12">
        <f t="shared" si="10"/>
        <v>0</v>
      </c>
    </row>
    <row r="457">
      <c r="A457" s="3" t="s">
        <v>496</v>
      </c>
      <c r="B457" s="4">
        <v>46279.0</v>
      </c>
      <c r="C457" s="4" t="str">
        <f t="shared" si="1"/>
        <v>September</v>
      </c>
      <c r="D457" s="3" t="s">
        <v>14</v>
      </c>
      <c r="E457" s="3" t="s">
        <v>15</v>
      </c>
      <c r="F457" s="3" t="s">
        <v>16</v>
      </c>
      <c r="G457" s="3" t="str">
        <f>VLOOKUP(F457, 'KODE PESAWAT'!$A$2:$C$42, 3, FALSE)</f>
        <v>Thai Airways Group (Associate)</v>
      </c>
      <c r="H457" s="10">
        <v>1075000.0</v>
      </c>
      <c r="I457" s="10">
        <v>1021250.0</v>
      </c>
      <c r="J457" s="10">
        <f t="shared" si="2"/>
        <v>53750</v>
      </c>
      <c r="K457" s="11">
        <f t="shared" si="3"/>
        <v>0.05</v>
      </c>
      <c r="L457" s="3" t="str">
        <f t="shared" si="4"/>
        <v>Normal</v>
      </c>
      <c r="M457" s="10">
        <f t="shared" si="5"/>
        <v>-53750</v>
      </c>
      <c r="N457" s="3" t="str">
        <f t="shared" si="6"/>
        <v>Issued</v>
      </c>
      <c r="O457" s="3" t="str">
        <f t="shared" si="7"/>
        <v>PROFIT</v>
      </c>
      <c r="P457" s="3">
        <f t="shared" si="8"/>
        <v>1</v>
      </c>
      <c r="Q457" s="3">
        <f t="shared" si="9"/>
        <v>1</v>
      </c>
      <c r="R457" s="12">
        <f t="shared" si="10"/>
        <v>0</v>
      </c>
    </row>
    <row r="458">
      <c r="A458" s="3" t="s">
        <v>497</v>
      </c>
      <c r="B458" s="4">
        <v>46095.0</v>
      </c>
      <c r="C458" s="4" t="str">
        <f t="shared" si="1"/>
        <v>March</v>
      </c>
      <c r="D458" s="3" t="s">
        <v>23</v>
      </c>
      <c r="E458" s="3" t="s">
        <v>15</v>
      </c>
      <c r="F458" s="3" t="s">
        <v>19</v>
      </c>
      <c r="G458" s="3" t="str">
        <f>VLOOKUP(F458, 'KODE PESAWAT'!$A$2:$C$42, 3, FALSE)</f>
        <v>Lion Air Group</v>
      </c>
      <c r="H458" s="10">
        <v>581000.0</v>
      </c>
      <c r="I458" s="10">
        <v>551950.0</v>
      </c>
      <c r="J458" s="10">
        <f t="shared" si="2"/>
        <v>29050</v>
      </c>
      <c r="K458" s="11">
        <f t="shared" si="3"/>
        <v>0.05</v>
      </c>
      <c r="L458" s="3" t="str">
        <f t="shared" si="4"/>
        <v>Normal</v>
      </c>
      <c r="M458" s="10">
        <f t="shared" si="5"/>
        <v>-29050</v>
      </c>
      <c r="N458" s="3" t="str">
        <f t="shared" si="6"/>
        <v>Issued</v>
      </c>
      <c r="O458" s="3" t="str">
        <f t="shared" si="7"/>
        <v>PROFIT</v>
      </c>
      <c r="P458" s="3">
        <f t="shared" si="8"/>
        <v>1</v>
      </c>
      <c r="Q458" s="3">
        <f t="shared" si="9"/>
        <v>1</v>
      </c>
      <c r="R458" s="12">
        <f t="shared" si="10"/>
        <v>0</v>
      </c>
    </row>
    <row r="459">
      <c r="A459" s="3" t="s">
        <v>498</v>
      </c>
      <c r="B459" s="4">
        <v>46151.0</v>
      </c>
      <c r="C459" s="4" t="str">
        <f t="shared" si="1"/>
        <v>May</v>
      </c>
      <c r="D459" s="3" t="s">
        <v>10</v>
      </c>
      <c r="E459" s="3" t="s">
        <v>11</v>
      </c>
      <c r="F459" s="3" t="s">
        <v>35</v>
      </c>
      <c r="G459" s="3" t="str">
        <f>VLOOKUP(F459, 'KODE PESAWAT'!$A$2:$C$42, 3, FALSE)</f>
        <v>Lion Air Group</v>
      </c>
      <c r="H459" s="10">
        <v>4353000.0</v>
      </c>
      <c r="I459" s="10">
        <v>4135350.0</v>
      </c>
      <c r="J459" s="10">
        <f t="shared" si="2"/>
        <v>217650</v>
      </c>
      <c r="K459" s="11">
        <f t="shared" si="3"/>
        <v>0.05</v>
      </c>
      <c r="L459" s="3" t="str">
        <f t="shared" si="4"/>
        <v>Normal</v>
      </c>
      <c r="M459" s="10">
        <f t="shared" si="5"/>
        <v>-217650</v>
      </c>
      <c r="N459" s="3" t="str">
        <f t="shared" si="6"/>
        <v>Issued</v>
      </c>
      <c r="O459" s="3" t="str">
        <f t="shared" si="7"/>
        <v>PROFIT</v>
      </c>
      <c r="P459" s="3">
        <f t="shared" si="8"/>
        <v>1</v>
      </c>
      <c r="Q459" s="3">
        <f t="shared" si="9"/>
        <v>1</v>
      </c>
      <c r="R459" s="12">
        <f t="shared" si="10"/>
        <v>0</v>
      </c>
    </row>
    <row r="460">
      <c r="A460" s="3" t="s">
        <v>499</v>
      </c>
      <c r="B460" s="4">
        <v>46366.0</v>
      </c>
      <c r="C460" s="4" t="str">
        <f t="shared" si="1"/>
        <v>December</v>
      </c>
      <c r="D460" s="3" t="s">
        <v>23</v>
      </c>
      <c r="E460" s="3" t="s">
        <v>15</v>
      </c>
      <c r="F460" s="3" t="s">
        <v>31</v>
      </c>
      <c r="G460" s="3" t="str">
        <f>VLOOKUP(F460, 'KODE PESAWAT'!$A$2:$C$42, 3, FALSE)</f>
        <v>Garuda Indonesia Group</v>
      </c>
      <c r="H460" s="10">
        <v>1065000.0</v>
      </c>
      <c r="I460" s="10">
        <v>1224750.0</v>
      </c>
      <c r="J460" s="10">
        <f t="shared" si="2"/>
        <v>-159750</v>
      </c>
      <c r="K460" s="11">
        <f t="shared" si="3"/>
        <v>-0.15</v>
      </c>
      <c r="L460" s="3" t="str">
        <f t="shared" si="4"/>
        <v>Fare Increase</v>
      </c>
      <c r="M460" s="10">
        <f t="shared" si="5"/>
        <v>159750</v>
      </c>
      <c r="N460" s="3" t="str">
        <f t="shared" si="6"/>
        <v>Issued</v>
      </c>
      <c r="O460" s="3" t="str">
        <f t="shared" si="7"/>
        <v>LOSS</v>
      </c>
      <c r="P460" s="3">
        <f t="shared" si="8"/>
        <v>1</v>
      </c>
      <c r="Q460" s="3">
        <f t="shared" si="9"/>
        <v>0</v>
      </c>
      <c r="R460" s="12">
        <f t="shared" si="10"/>
        <v>0</v>
      </c>
    </row>
    <row r="461">
      <c r="A461" s="3" t="s">
        <v>500</v>
      </c>
      <c r="B461" s="4">
        <v>46163.0</v>
      </c>
      <c r="C461" s="4" t="str">
        <f t="shared" si="1"/>
        <v>May</v>
      </c>
      <c r="D461" s="3" t="s">
        <v>14</v>
      </c>
      <c r="E461" s="3" t="s">
        <v>15</v>
      </c>
      <c r="F461" s="3" t="s">
        <v>37</v>
      </c>
      <c r="G461" s="3" t="str">
        <f>VLOOKUP(F461, 'KODE PESAWAT'!$A$2:$C$42, 3, FALSE)</f>
        <v>Lion Air Group</v>
      </c>
      <c r="H461" s="10">
        <v>2634000.0</v>
      </c>
      <c r="I461" s="10">
        <v>6585000.0</v>
      </c>
      <c r="J461" s="10">
        <f t="shared" si="2"/>
        <v>-3951000</v>
      </c>
      <c r="K461" s="11">
        <f t="shared" si="3"/>
        <v>-1.5</v>
      </c>
      <c r="L461" s="3" t="str">
        <f t="shared" si="4"/>
        <v>Over Buffer</v>
      </c>
      <c r="M461" s="10">
        <f t="shared" si="5"/>
        <v>-2634000</v>
      </c>
      <c r="N461" s="3" t="str">
        <f t="shared" si="6"/>
        <v>Refund</v>
      </c>
      <c r="O461" s="3" t="str">
        <f t="shared" si="7"/>
        <v>N/A</v>
      </c>
      <c r="P461" s="3">
        <f t="shared" si="8"/>
        <v>0</v>
      </c>
      <c r="Q461" s="3">
        <f t="shared" si="9"/>
        <v>0</v>
      </c>
      <c r="R461" s="12">
        <f t="shared" si="10"/>
        <v>1</v>
      </c>
    </row>
    <row r="462">
      <c r="A462" s="3" t="s">
        <v>501</v>
      </c>
      <c r="B462" s="4">
        <v>46379.0</v>
      </c>
      <c r="C462" s="4" t="str">
        <f t="shared" si="1"/>
        <v>December</v>
      </c>
      <c r="D462" s="3" t="s">
        <v>25</v>
      </c>
      <c r="E462" s="3" t="s">
        <v>15</v>
      </c>
      <c r="F462" s="3" t="s">
        <v>42</v>
      </c>
      <c r="G462" s="3" t="str">
        <f>VLOOKUP(F462, 'KODE PESAWAT'!$A$2:$C$42, 3, FALSE)</f>
        <v>Vietnam Airlines Group</v>
      </c>
      <c r="H462" s="10">
        <v>1.1372E7</v>
      </c>
      <c r="I462" s="10">
        <v>2.843E7</v>
      </c>
      <c r="J462" s="10">
        <f t="shared" si="2"/>
        <v>-17058000</v>
      </c>
      <c r="K462" s="11">
        <f t="shared" si="3"/>
        <v>-1.5</v>
      </c>
      <c r="L462" s="3" t="str">
        <f t="shared" si="4"/>
        <v>Over Buffer</v>
      </c>
      <c r="M462" s="10">
        <f t="shared" si="5"/>
        <v>-11372000</v>
      </c>
      <c r="N462" s="3" t="str">
        <f t="shared" si="6"/>
        <v>Refund</v>
      </c>
      <c r="O462" s="3" t="str">
        <f t="shared" si="7"/>
        <v>N/A</v>
      </c>
      <c r="P462" s="3">
        <f t="shared" si="8"/>
        <v>0</v>
      </c>
      <c r="Q462" s="3">
        <f t="shared" si="9"/>
        <v>0</v>
      </c>
      <c r="R462" s="12">
        <f t="shared" si="10"/>
        <v>1</v>
      </c>
    </row>
    <row r="463">
      <c r="A463" s="3" t="s">
        <v>502</v>
      </c>
      <c r="B463" s="4">
        <v>46058.0</v>
      </c>
      <c r="C463" s="4" t="str">
        <f t="shared" si="1"/>
        <v>February</v>
      </c>
      <c r="D463" s="3" t="s">
        <v>18</v>
      </c>
      <c r="E463" s="3" t="s">
        <v>11</v>
      </c>
      <c r="F463" s="3" t="s">
        <v>12</v>
      </c>
      <c r="G463" s="3" t="str">
        <f>VLOOKUP(F463, 'KODE PESAWAT'!$A$2:$C$42, 3, FALSE)</f>
        <v>AirAsia Group</v>
      </c>
      <c r="H463" s="10">
        <v>1739000.0</v>
      </c>
      <c r="I463" s="10">
        <v>4347500.0</v>
      </c>
      <c r="J463" s="10">
        <f t="shared" si="2"/>
        <v>-2608500</v>
      </c>
      <c r="K463" s="11">
        <f t="shared" si="3"/>
        <v>-1.5</v>
      </c>
      <c r="L463" s="3" t="str">
        <f t="shared" si="4"/>
        <v>Over Buffer</v>
      </c>
      <c r="M463" s="10">
        <f t="shared" si="5"/>
        <v>-1739000</v>
      </c>
      <c r="N463" s="3" t="str">
        <f t="shared" si="6"/>
        <v>Refund</v>
      </c>
      <c r="O463" s="3" t="str">
        <f t="shared" si="7"/>
        <v>N/A</v>
      </c>
      <c r="P463" s="3">
        <f t="shared" si="8"/>
        <v>0</v>
      </c>
      <c r="Q463" s="3">
        <f t="shared" si="9"/>
        <v>0</v>
      </c>
      <c r="R463" s="12">
        <f t="shared" si="10"/>
        <v>1</v>
      </c>
    </row>
    <row r="464">
      <c r="A464" s="3" t="s">
        <v>503</v>
      </c>
      <c r="B464" s="4">
        <v>46339.0</v>
      </c>
      <c r="C464" s="4" t="str">
        <f t="shared" si="1"/>
        <v>November</v>
      </c>
      <c r="D464" s="3" t="s">
        <v>14</v>
      </c>
      <c r="E464" s="3" t="s">
        <v>15</v>
      </c>
      <c r="F464" s="3" t="s">
        <v>16</v>
      </c>
      <c r="G464" s="3" t="str">
        <f>VLOOKUP(F464, 'KODE PESAWAT'!$A$2:$C$42, 3, FALSE)</f>
        <v>Thai Airways Group (Associate)</v>
      </c>
      <c r="H464" s="10">
        <v>508000.0</v>
      </c>
      <c r="I464" s="10">
        <v>584200.0</v>
      </c>
      <c r="J464" s="10">
        <f t="shared" si="2"/>
        <v>-76200</v>
      </c>
      <c r="K464" s="11">
        <f t="shared" si="3"/>
        <v>-0.15</v>
      </c>
      <c r="L464" s="3" t="str">
        <f t="shared" si="4"/>
        <v>Fare Increase</v>
      </c>
      <c r="M464" s="10">
        <f t="shared" si="5"/>
        <v>76200</v>
      </c>
      <c r="N464" s="3" t="str">
        <f t="shared" si="6"/>
        <v>Issued</v>
      </c>
      <c r="O464" s="3" t="str">
        <f t="shared" si="7"/>
        <v>LOSS</v>
      </c>
      <c r="P464" s="3">
        <f t="shared" si="8"/>
        <v>1</v>
      </c>
      <c r="Q464" s="3">
        <f t="shared" si="9"/>
        <v>0</v>
      </c>
      <c r="R464" s="12">
        <f t="shared" si="10"/>
        <v>0</v>
      </c>
    </row>
    <row r="465">
      <c r="A465" s="3" t="s">
        <v>504</v>
      </c>
      <c r="B465" s="4">
        <v>46243.0</v>
      </c>
      <c r="C465" s="4" t="str">
        <f t="shared" si="1"/>
        <v>August</v>
      </c>
      <c r="D465" s="3" t="s">
        <v>10</v>
      </c>
      <c r="E465" s="3" t="s">
        <v>11</v>
      </c>
      <c r="F465" s="3" t="s">
        <v>35</v>
      </c>
      <c r="G465" s="3" t="str">
        <f>VLOOKUP(F465, 'KODE PESAWAT'!$A$2:$C$42, 3, FALSE)</f>
        <v>Lion Air Group</v>
      </c>
      <c r="H465" s="10">
        <v>733000.0</v>
      </c>
      <c r="I465" s="10">
        <v>1832500.0</v>
      </c>
      <c r="J465" s="10">
        <f t="shared" si="2"/>
        <v>-1099500</v>
      </c>
      <c r="K465" s="11">
        <f t="shared" si="3"/>
        <v>-1.5</v>
      </c>
      <c r="L465" s="3" t="str">
        <f t="shared" si="4"/>
        <v>Over Buffer</v>
      </c>
      <c r="M465" s="10">
        <f t="shared" si="5"/>
        <v>-733000</v>
      </c>
      <c r="N465" s="3" t="str">
        <f t="shared" si="6"/>
        <v>Refund</v>
      </c>
      <c r="O465" s="3" t="str">
        <f t="shared" si="7"/>
        <v>N/A</v>
      </c>
      <c r="P465" s="3">
        <f t="shared" si="8"/>
        <v>0</v>
      </c>
      <c r="Q465" s="3">
        <f t="shared" si="9"/>
        <v>0</v>
      </c>
      <c r="R465" s="12">
        <f t="shared" si="10"/>
        <v>1</v>
      </c>
    </row>
    <row r="466">
      <c r="A466" s="3" t="s">
        <v>505</v>
      </c>
      <c r="B466" s="4">
        <v>46310.0</v>
      </c>
      <c r="C466" s="4" t="str">
        <f t="shared" si="1"/>
        <v>October</v>
      </c>
      <c r="D466" s="3" t="s">
        <v>14</v>
      </c>
      <c r="E466" s="3" t="s">
        <v>15</v>
      </c>
      <c r="F466" s="3" t="s">
        <v>63</v>
      </c>
      <c r="G466" s="3" t="str">
        <f>VLOOKUP(F466, 'KODE PESAWAT'!$A$2:$C$42, 3, FALSE)</f>
        <v>Lion Air Group</v>
      </c>
      <c r="H466" s="10">
        <v>1.4962E7</v>
      </c>
      <c r="I466" s="10">
        <v>2.09468E7</v>
      </c>
      <c r="J466" s="10">
        <f t="shared" si="2"/>
        <v>-5984800</v>
      </c>
      <c r="K466" s="11">
        <f t="shared" si="3"/>
        <v>-0.4</v>
      </c>
      <c r="L466" s="3" t="str">
        <f t="shared" si="4"/>
        <v>Fare Increase</v>
      </c>
      <c r="M466" s="10">
        <f t="shared" si="5"/>
        <v>5984800</v>
      </c>
      <c r="N466" s="3" t="str">
        <f t="shared" si="6"/>
        <v>Issued</v>
      </c>
      <c r="O466" s="3" t="str">
        <f t="shared" si="7"/>
        <v>LOSS</v>
      </c>
      <c r="P466" s="3">
        <f t="shared" si="8"/>
        <v>1</v>
      </c>
      <c r="Q466" s="3">
        <f t="shared" si="9"/>
        <v>0</v>
      </c>
      <c r="R466" s="12">
        <f t="shared" si="10"/>
        <v>0</v>
      </c>
    </row>
    <row r="467">
      <c r="A467" s="3" t="s">
        <v>506</v>
      </c>
      <c r="B467" s="4">
        <v>46228.0</v>
      </c>
      <c r="C467" s="4" t="str">
        <f t="shared" si="1"/>
        <v>July</v>
      </c>
      <c r="D467" s="3" t="s">
        <v>25</v>
      </c>
      <c r="E467" s="3" t="s">
        <v>15</v>
      </c>
      <c r="F467" s="3" t="s">
        <v>116</v>
      </c>
      <c r="G467" s="3" t="str">
        <f>VLOOKUP(F467, 'KODE PESAWAT'!$A$2:$C$42, 3, FALSE)</f>
        <v>VietJet Group</v>
      </c>
      <c r="H467" s="10">
        <v>1214000.0</v>
      </c>
      <c r="I467" s="10">
        <v>1396100.0</v>
      </c>
      <c r="J467" s="10">
        <f t="shared" si="2"/>
        <v>-182100</v>
      </c>
      <c r="K467" s="11">
        <f t="shared" si="3"/>
        <v>-0.15</v>
      </c>
      <c r="L467" s="3" t="str">
        <f t="shared" si="4"/>
        <v>Fare Increase</v>
      </c>
      <c r="M467" s="10">
        <f t="shared" si="5"/>
        <v>182100</v>
      </c>
      <c r="N467" s="3" t="str">
        <f t="shared" si="6"/>
        <v>Issued</v>
      </c>
      <c r="O467" s="3" t="str">
        <f t="shared" si="7"/>
        <v>LOSS</v>
      </c>
      <c r="P467" s="3">
        <f t="shared" si="8"/>
        <v>1</v>
      </c>
      <c r="Q467" s="3">
        <f t="shared" si="9"/>
        <v>0</v>
      </c>
      <c r="R467" s="12">
        <f t="shared" si="10"/>
        <v>0</v>
      </c>
    </row>
    <row r="468">
      <c r="A468" s="3" t="s">
        <v>507</v>
      </c>
      <c r="B468" s="4">
        <v>46073.0</v>
      </c>
      <c r="C468" s="4" t="str">
        <f t="shared" si="1"/>
        <v>February</v>
      </c>
      <c r="D468" s="3" t="s">
        <v>18</v>
      </c>
      <c r="E468" s="3" t="s">
        <v>11</v>
      </c>
      <c r="F468" s="3" t="s">
        <v>12</v>
      </c>
      <c r="G468" s="3" t="str">
        <f>VLOOKUP(F468, 'KODE PESAWAT'!$A$2:$C$42, 3, FALSE)</f>
        <v>AirAsia Group</v>
      </c>
      <c r="H468" s="10">
        <v>1772000.0</v>
      </c>
      <c r="I468" s="10">
        <v>4430000.0</v>
      </c>
      <c r="J468" s="10">
        <f t="shared" si="2"/>
        <v>-2658000</v>
      </c>
      <c r="K468" s="11">
        <f t="shared" si="3"/>
        <v>-1.5</v>
      </c>
      <c r="L468" s="3" t="str">
        <f t="shared" si="4"/>
        <v>Over Buffer</v>
      </c>
      <c r="M468" s="10">
        <f t="shared" si="5"/>
        <v>-1772000</v>
      </c>
      <c r="N468" s="3" t="str">
        <f t="shared" si="6"/>
        <v>Refund</v>
      </c>
      <c r="O468" s="3" t="str">
        <f t="shared" si="7"/>
        <v>N/A</v>
      </c>
      <c r="P468" s="3">
        <f t="shared" si="8"/>
        <v>0</v>
      </c>
      <c r="Q468" s="3">
        <f t="shared" si="9"/>
        <v>0</v>
      </c>
      <c r="R468" s="12">
        <f t="shared" si="10"/>
        <v>1</v>
      </c>
    </row>
    <row r="469">
      <c r="A469" s="3" t="s">
        <v>508</v>
      </c>
      <c r="B469" s="4">
        <v>46050.0</v>
      </c>
      <c r="C469" s="4" t="str">
        <f t="shared" si="1"/>
        <v>January</v>
      </c>
      <c r="D469" s="3" t="s">
        <v>14</v>
      </c>
      <c r="E469" s="3" t="s">
        <v>15</v>
      </c>
      <c r="F469" s="3" t="s">
        <v>37</v>
      </c>
      <c r="G469" s="3" t="str">
        <f>VLOOKUP(F469, 'KODE PESAWAT'!$A$2:$C$42, 3, FALSE)</f>
        <v>Lion Air Group</v>
      </c>
      <c r="H469" s="10">
        <v>1181000.0</v>
      </c>
      <c r="I469" s="10">
        <v>1653400.0</v>
      </c>
      <c r="J469" s="10">
        <f t="shared" si="2"/>
        <v>-472400</v>
      </c>
      <c r="K469" s="11">
        <f t="shared" si="3"/>
        <v>-0.4</v>
      </c>
      <c r="L469" s="3" t="str">
        <f t="shared" si="4"/>
        <v>Fare Increase</v>
      </c>
      <c r="M469" s="10">
        <f t="shared" si="5"/>
        <v>472400</v>
      </c>
      <c r="N469" s="3" t="str">
        <f t="shared" si="6"/>
        <v>Issued</v>
      </c>
      <c r="O469" s="3" t="str">
        <f t="shared" si="7"/>
        <v>LOSS</v>
      </c>
      <c r="P469" s="3">
        <f t="shared" si="8"/>
        <v>1</v>
      </c>
      <c r="Q469" s="3">
        <f t="shared" si="9"/>
        <v>0</v>
      </c>
      <c r="R469" s="12">
        <f t="shared" si="10"/>
        <v>0</v>
      </c>
    </row>
    <row r="470">
      <c r="A470" s="3" t="s">
        <v>509</v>
      </c>
      <c r="B470" s="4">
        <v>46152.0</v>
      </c>
      <c r="C470" s="4" t="str">
        <f t="shared" si="1"/>
        <v>May</v>
      </c>
      <c r="D470" s="3" t="s">
        <v>10</v>
      </c>
      <c r="E470" s="3" t="s">
        <v>11</v>
      </c>
      <c r="F470" s="3" t="s">
        <v>12</v>
      </c>
      <c r="G470" s="3" t="str">
        <f>VLOOKUP(F470, 'KODE PESAWAT'!$A$2:$C$42, 3, FALSE)</f>
        <v>AirAsia Group</v>
      </c>
      <c r="H470" s="10">
        <v>1262000.0</v>
      </c>
      <c r="I470" s="10">
        <v>1451300.0</v>
      </c>
      <c r="J470" s="10">
        <f t="shared" si="2"/>
        <v>-189300</v>
      </c>
      <c r="K470" s="11">
        <f t="shared" si="3"/>
        <v>-0.15</v>
      </c>
      <c r="L470" s="3" t="str">
        <f t="shared" si="4"/>
        <v>Fare Increase</v>
      </c>
      <c r="M470" s="10">
        <f t="shared" si="5"/>
        <v>189300</v>
      </c>
      <c r="N470" s="3" t="str">
        <f t="shared" si="6"/>
        <v>Issued</v>
      </c>
      <c r="O470" s="3" t="str">
        <f t="shared" si="7"/>
        <v>LOSS</v>
      </c>
      <c r="P470" s="3">
        <f t="shared" si="8"/>
        <v>1</v>
      </c>
      <c r="Q470" s="3">
        <f t="shared" si="9"/>
        <v>0</v>
      </c>
      <c r="R470" s="12">
        <f t="shared" si="10"/>
        <v>0</v>
      </c>
    </row>
    <row r="471">
      <c r="A471" s="3" t="s">
        <v>510</v>
      </c>
      <c r="B471" s="4">
        <v>46383.0</v>
      </c>
      <c r="C471" s="4" t="str">
        <f t="shared" si="1"/>
        <v>December</v>
      </c>
      <c r="D471" s="3" t="s">
        <v>10</v>
      </c>
      <c r="E471" s="3" t="s">
        <v>11</v>
      </c>
      <c r="F471" s="3" t="s">
        <v>19</v>
      </c>
      <c r="G471" s="3" t="str">
        <f>VLOOKUP(F471, 'KODE PESAWAT'!$A$2:$C$42, 3, FALSE)</f>
        <v>Lion Air Group</v>
      </c>
      <c r="H471" s="10">
        <v>1573000.0</v>
      </c>
      <c r="I471" s="10">
        <v>3932500.0</v>
      </c>
      <c r="J471" s="10">
        <f t="shared" si="2"/>
        <v>-2359500</v>
      </c>
      <c r="K471" s="11">
        <f t="shared" si="3"/>
        <v>-1.5</v>
      </c>
      <c r="L471" s="3" t="str">
        <f t="shared" si="4"/>
        <v>Over Buffer</v>
      </c>
      <c r="M471" s="10">
        <f t="shared" si="5"/>
        <v>-1573000</v>
      </c>
      <c r="N471" s="3" t="str">
        <f t="shared" si="6"/>
        <v>Refund</v>
      </c>
      <c r="O471" s="3" t="str">
        <f t="shared" si="7"/>
        <v>N/A</v>
      </c>
      <c r="P471" s="3">
        <f t="shared" si="8"/>
        <v>0</v>
      </c>
      <c r="Q471" s="3">
        <f t="shared" si="9"/>
        <v>0</v>
      </c>
      <c r="R471" s="12">
        <f t="shared" si="10"/>
        <v>1</v>
      </c>
    </row>
    <row r="472">
      <c r="A472" s="3" t="s">
        <v>511</v>
      </c>
      <c r="B472" s="4">
        <v>46229.0</v>
      </c>
      <c r="C472" s="4" t="str">
        <f t="shared" si="1"/>
        <v>July</v>
      </c>
      <c r="D472" s="3" t="s">
        <v>30</v>
      </c>
      <c r="E472" s="3" t="s">
        <v>15</v>
      </c>
      <c r="F472" s="3" t="s">
        <v>340</v>
      </c>
      <c r="G472" s="3" t="str">
        <f>VLOOKUP(F472, 'KODE PESAWAT'!$A$2:$C$42, 3, FALSE)</f>
        <v>AirAsia Group</v>
      </c>
      <c r="H472" s="10">
        <v>5974000.0</v>
      </c>
      <c r="I472" s="10">
        <v>6870099.999999999</v>
      </c>
      <c r="J472" s="10">
        <f t="shared" si="2"/>
        <v>-896100</v>
      </c>
      <c r="K472" s="11">
        <f t="shared" si="3"/>
        <v>-0.15</v>
      </c>
      <c r="L472" s="3" t="str">
        <f t="shared" si="4"/>
        <v>Fare Increase</v>
      </c>
      <c r="M472" s="10">
        <f t="shared" si="5"/>
        <v>896100</v>
      </c>
      <c r="N472" s="3" t="str">
        <f t="shared" si="6"/>
        <v>Issued</v>
      </c>
      <c r="O472" s="3" t="str">
        <f t="shared" si="7"/>
        <v>LOSS</v>
      </c>
      <c r="P472" s="3">
        <f t="shared" si="8"/>
        <v>1</v>
      </c>
      <c r="Q472" s="3">
        <f t="shared" si="9"/>
        <v>0</v>
      </c>
      <c r="R472" s="12">
        <f t="shared" si="10"/>
        <v>0</v>
      </c>
    </row>
    <row r="473">
      <c r="A473" s="3" t="s">
        <v>512</v>
      </c>
      <c r="B473" s="4">
        <v>46045.0</v>
      </c>
      <c r="C473" s="4" t="str">
        <f t="shared" si="1"/>
        <v>January</v>
      </c>
      <c r="D473" s="3" t="s">
        <v>14</v>
      </c>
      <c r="E473" s="3" t="s">
        <v>15</v>
      </c>
      <c r="F473" s="3" t="s">
        <v>63</v>
      </c>
      <c r="G473" s="3" t="str">
        <f>VLOOKUP(F473, 'KODE PESAWAT'!$A$2:$C$42, 3, FALSE)</f>
        <v>Lion Air Group</v>
      </c>
      <c r="H473" s="10">
        <v>1.3368E7</v>
      </c>
      <c r="I473" s="10">
        <v>1.87152E7</v>
      </c>
      <c r="J473" s="10">
        <f t="shared" si="2"/>
        <v>-5347200</v>
      </c>
      <c r="K473" s="11">
        <f t="shared" si="3"/>
        <v>-0.4</v>
      </c>
      <c r="L473" s="3" t="str">
        <f t="shared" si="4"/>
        <v>Fare Increase</v>
      </c>
      <c r="M473" s="10">
        <f t="shared" si="5"/>
        <v>5347200</v>
      </c>
      <c r="N473" s="3" t="str">
        <f t="shared" si="6"/>
        <v>Issued</v>
      </c>
      <c r="O473" s="3" t="str">
        <f t="shared" si="7"/>
        <v>LOSS</v>
      </c>
      <c r="P473" s="3">
        <f t="shared" si="8"/>
        <v>1</v>
      </c>
      <c r="Q473" s="3">
        <f t="shared" si="9"/>
        <v>0</v>
      </c>
      <c r="R473" s="12">
        <f t="shared" si="10"/>
        <v>0</v>
      </c>
    </row>
    <row r="474">
      <c r="A474" s="3" t="s">
        <v>513</v>
      </c>
      <c r="B474" s="4">
        <v>46370.0</v>
      </c>
      <c r="C474" s="4" t="str">
        <f t="shared" si="1"/>
        <v>December</v>
      </c>
      <c r="D474" s="3" t="s">
        <v>10</v>
      </c>
      <c r="E474" s="3" t="s">
        <v>11</v>
      </c>
      <c r="F474" s="3" t="s">
        <v>12</v>
      </c>
      <c r="G474" s="3" t="str">
        <f>VLOOKUP(F474, 'KODE PESAWAT'!$A$2:$C$42, 3, FALSE)</f>
        <v>AirAsia Group</v>
      </c>
      <c r="H474" s="10">
        <v>1163000.0</v>
      </c>
      <c r="I474" s="10">
        <v>1104850.0</v>
      </c>
      <c r="J474" s="10">
        <f t="shared" si="2"/>
        <v>58150</v>
      </c>
      <c r="K474" s="11">
        <f t="shared" si="3"/>
        <v>0.05</v>
      </c>
      <c r="L474" s="3" t="str">
        <f t="shared" si="4"/>
        <v>Normal</v>
      </c>
      <c r="M474" s="10">
        <f t="shared" si="5"/>
        <v>-58150</v>
      </c>
      <c r="N474" s="3" t="str">
        <f t="shared" si="6"/>
        <v>Issued</v>
      </c>
      <c r="O474" s="3" t="str">
        <f t="shared" si="7"/>
        <v>PROFIT</v>
      </c>
      <c r="P474" s="3">
        <f t="shared" si="8"/>
        <v>1</v>
      </c>
      <c r="Q474" s="3">
        <f t="shared" si="9"/>
        <v>1</v>
      </c>
      <c r="R474" s="12">
        <f t="shared" si="10"/>
        <v>0</v>
      </c>
    </row>
    <row r="475">
      <c r="A475" s="3" t="s">
        <v>514</v>
      </c>
      <c r="B475" s="4">
        <v>46156.0</v>
      </c>
      <c r="C475" s="4" t="str">
        <f t="shared" si="1"/>
        <v>May</v>
      </c>
      <c r="D475" s="3" t="s">
        <v>23</v>
      </c>
      <c r="E475" s="3" t="s">
        <v>15</v>
      </c>
      <c r="F475" s="3" t="s">
        <v>19</v>
      </c>
      <c r="G475" s="3" t="str">
        <f>VLOOKUP(F475, 'KODE PESAWAT'!$A$2:$C$42, 3, FALSE)</f>
        <v>Lion Air Group</v>
      </c>
      <c r="H475" s="10">
        <v>7464000.0</v>
      </c>
      <c r="I475" s="10">
        <v>7090800.0</v>
      </c>
      <c r="J475" s="10">
        <f t="shared" si="2"/>
        <v>373200</v>
      </c>
      <c r="K475" s="11">
        <f t="shared" si="3"/>
        <v>0.05</v>
      </c>
      <c r="L475" s="3" t="str">
        <f t="shared" si="4"/>
        <v>Normal</v>
      </c>
      <c r="M475" s="10">
        <f t="shared" si="5"/>
        <v>-373200</v>
      </c>
      <c r="N475" s="3" t="str">
        <f t="shared" si="6"/>
        <v>Issued</v>
      </c>
      <c r="O475" s="3" t="str">
        <f t="shared" si="7"/>
        <v>PROFIT</v>
      </c>
      <c r="P475" s="3">
        <f t="shared" si="8"/>
        <v>1</v>
      </c>
      <c r="Q475" s="3">
        <f t="shared" si="9"/>
        <v>1</v>
      </c>
      <c r="R475" s="12">
        <f t="shared" si="10"/>
        <v>0</v>
      </c>
    </row>
    <row r="476">
      <c r="A476" s="3" t="s">
        <v>515</v>
      </c>
      <c r="B476" s="4">
        <v>46219.0</v>
      </c>
      <c r="C476" s="4" t="str">
        <f t="shared" si="1"/>
        <v>July</v>
      </c>
      <c r="D476" s="3" t="s">
        <v>30</v>
      </c>
      <c r="E476" s="3" t="s">
        <v>15</v>
      </c>
      <c r="F476" s="3" t="s">
        <v>63</v>
      </c>
      <c r="G476" s="3" t="str">
        <f>VLOOKUP(F476, 'KODE PESAWAT'!$A$2:$C$42, 3, FALSE)</f>
        <v>Lion Air Group</v>
      </c>
      <c r="H476" s="10">
        <v>710000.0</v>
      </c>
      <c r="I476" s="10">
        <v>674500.0</v>
      </c>
      <c r="J476" s="10">
        <f t="shared" si="2"/>
        <v>35500</v>
      </c>
      <c r="K476" s="11">
        <f t="shared" si="3"/>
        <v>0.05</v>
      </c>
      <c r="L476" s="3" t="str">
        <f t="shared" si="4"/>
        <v>Normal</v>
      </c>
      <c r="M476" s="10">
        <f t="shared" si="5"/>
        <v>-35500</v>
      </c>
      <c r="N476" s="3" t="str">
        <f t="shared" si="6"/>
        <v>Issued</v>
      </c>
      <c r="O476" s="3" t="str">
        <f t="shared" si="7"/>
        <v>PROFIT</v>
      </c>
      <c r="P476" s="3">
        <f t="shared" si="8"/>
        <v>1</v>
      </c>
      <c r="Q476" s="3">
        <f t="shared" si="9"/>
        <v>1</v>
      </c>
      <c r="R476" s="12">
        <f t="shared" si="10"/>
        <v>0</v>
      </c>
    </row>
    <row r="477">
      <c r="A477" s="3" t="s">
        <v>516</v>
      </c>
      <c r="B477" s="4">
        <v>46160.0</v>
      </c>
      <c r="C477" s="4" t="str">
        <f t="shared" si="1"/>
        <v>May</v>
      </c>
      <c r="D477" s="3" t="s">
        <v>18</v>
      </c>
      <c r="E477" s="3" t="s">
        <v>11</v>
      </c>
      <c r="F477" s="3" t="s">
        <v>19</v>
      </c>
      <c r="G477" s="3" t="str">
        <f>VLOOKUP(F477, 'KODE PESAWAT'!$A$2:$C$42, 3, FALSE)</f>
        <v>Lion Air Group</v>
      </c>
      <c r="H477" s="10">
        <v>463000.0</v>
      </c>
      <c r="I477" s="10">
        <v>648200.0</v>
      </c>
      <c r="J477" s="10">
        <f t="shared" si="2"/>
        <v>-185200</v>
      </c>
      <c r="K477" s="11">
        <f t="shared" si="3"/>
        <v>-0.4</v>
      </c>
      <c r="L477" s="3" t="str">
        <f t="shared" si="4"/>
        <v>Fare Increase</v>
      </c>
      <c r="M477" s="10">
        <f t="shared" si="5"/>
        <v>185200</v>
      </c>
      <c r="N477" s="3" t="str">
        <f t="shared" si="6"/>
        <v>Issued</v>
      </c>
      <c r="O477" s="3" t="str">
        <f t="shared" si="7"/>
        <v>LOSS</v>
      </c>
      <c r="P477" s="3">
        <f t="shared" si="8"/>
        <v>1</v>
      </c>
      <c r="Q477" s="3">
        <f t="shared" si="9"/>
        <v>0</v>
      </c>
      <c r="R477" s="12">
        <f t="shared" si="10"/>
        <v>0</v>
      </c>
    </row>
    <row r="478">
      <c r="A478" s="3" t="s">
        <v>517</v>
      </c>
      <c r="B478" s="4">
        <v>46192.0</v>
      </c>
      <c r="C478" s="4" t="str">
        <f t="shared" si="1"/>
        <v>June</v>
      </c>
      <c r="D478" s="3" t="s">
        <v>23</v>
      </c>
      <c r="E478" s="3" t="s">
        <v>15</v>
      </c>
      <c r="F478" s="3" t="s">
        <v>19</v>
      </c>
      <c r="G478" s="3" t="str">
        <f>VLOOKUP(F478, 'KODE PESAWAT'!$A$2:$C$42, 3, FALSE)</f>
        <v>Lion Air Group</v>
      </c>
      <c r="H478" s="10">
        <v>1.1009E7</v>
      </c>
      <c r="I478" s="10">
        <v>2.75225E7</v>
      </c>
      <c r="J478" s="10">
        <f t="shared" si="2"/>
        <v>-16513500</v>
      </c>
      <c r="K478" s="11">
        <f t="shared" si="3"/>
        <v>-1.5</v>
      </c>
      <c r="L478" s="3" t="str">
        <f t="shared" si="4"/>
        <v>Over Buffer</v>
      </c>
      <c r="M478" s="10">
        <f t="shared" si="5"/>
        <v>-11009000</v>
      </c>
      <c r="N478" s="3" t="str">
        <f t="shared" si="6"/>
        <v>Refund</v>
      </c>
      <c r="O478" s="3" t="str">
        <f t="shared" si="7"/>
        <v>N/A</v>
      </c>
      <c r="P478" s="3">
        <f t="shared" si="8"/>
        <v>0</v>
      </c>
      <c r="Q478" s="3">
        <f t="shared" si="9"/>
        <v>0</v>
      </c>
      <c r="R478" s="12">
        <f t="shared" si="10"/>
        <v>1</v>
      </c>
    </row>
    <row r="479">
      <c r="A479" s="3" t="s">
        <v>518</v>
      </c>
      <c r="B479" s="4">
        <v>46040.0</v>
      </c>
      <c r="C479" s="4" t="str">
        <f t="shared" si="1"/>
        <v>January</v>
      </c>
      <c r="D479" s="3" t="s">
        <v>30</v>
      </c>
      <c r="E479" s="3" t="s">
        <v>15</v>
      </c>
      <c r="F479" s="3" t="s">
        <v>116</v>
      </c>
      <c r="G479" s="3" t="str">
        <f>VLOOKUP(F479, 'KODE PESAWAT'!$A$2:$C$42, 3, FALSE)</f>
        <v>VietJet Group</v>
      </c>
      <c r="H479" s="10">
        <v>1315000.0</v>
      </c>
      <c r="I479" s="10">
        <v>3287500.0</v>
      </c>
      <c r="J479" s="10">
        <f t="shared" si="2"/>
        <v>-1972500</v>
      </c>
      <c r="K479" s="11">
        <f t="shared" si="3"/>
        <v>-1.5</v>
      </c>
      <c r="L479" s="3" t="str">
        <f t="shared" si="4"/>
        <v>Over Buffer</v>
      </c>
      <c r="M479" s="10">
        <f t="shared" si="5"/>
        <v>-1315000</v>
      </c>
      <c r="N479" s="3" t="str">
        <f t="shared" si="6"/>
        <v>Refund</v>
      </c>
      <c r="O479" s="3" t="str">
        <f t="shared" si="7"/>
        <v>N/A</v>
      </c>
      <c r="P479" s="3">
        <f t="shared" si="8"/>
        <v>0</v>
      </c>
      <c r="Q479" s="3">
        <f t="shared" si="9"/>
        <v>0</v>
      </c>
      <c r="R479" s="12">
        <f t="shared" si="10"/>
        <v>1</v>
      </c>
    </row>
    <row r="480">
      <c r="A480" s="3" t="s">
        <v>519</v>
      </c>
      <c r="B480" s="4">
        <v>46352.0</v>
      </c>
      <c r="C480" s="4" t="str">
        <f t="shared" si="1"/>
        <v>November</v>
      </c>
      <c r="D480" s="3" t="s">
        <v>14</v>
      </c>
      <c r="E480" s="3" t="s">
        <v>15</v>
      </c>
      <c r="F480" s="3" t="s">
        <v>37</v>
      </c>
      <c r="G480" s="3" t="str">
        <f>VLOOKUP(F480, 'KODE PESAWAT'!$A$2:$C$42, 3, FALSE)</f>
        <v>Lion Air Group</v>
      </c>
      <c r="H480" s="10">
        <v>799000.0</v>
      </c>
      <c r="I480" s="10">
        <v>918849.9999999999</v>
      </c>
      <c r="J480" s="10">
        <f t="shared" si="2"/>
        <v>-119850</v>
      </c>
      <c r="K480" s="11">
        <f t="shared" si="3"/>
        <v>-0.15</v>
      </c>
      <c r="L480" s="3" t="str">
        <f t="shared" si="4"/>
        <v>Fare Increase</v>
      </c>
      <c r="M480" s="10">
        <f t="shared" si="5"/>
        <v>119850</v>
      </c>
      <c r="N480" s="3" t="str">
        <f t="shared" si="6"/>
        <v>Issued</v>
      </c>
      <c r="O480" s="3" t="str">
        <f t="shared" si="7"/>
        <v>LOSS</v>
      </c>
      <c r="P480" s="3">
        <f t="shared" si="8"/>
        <v>1</v>
      </c>
      <c r="Q480" s="3">
        <f t="shared" si="9"/>
        <v>0</v>
      </c>
      <c r="R480" s="12">
        <f t="shared" si="10"/>
        <v>0</v>
      </c>
    </row>
    <row r="481">
      <c r="A481" s="3" t="s">
        <v>520</v>
      </c>
      <c r="B481" s="4">
        <v>46211.0</v>
      </c>
      <c r="C481" s="4" t="str">
        <f t="shared" si="1"/>
        <v>July</v>
      </c>
      <c r="D481" s="3" t="s">
        <v>10</v>
      </c>
      <c r="E481" s="3" t="s">
        <v>11</v>
      </c>
      <c r="F481" s="3" t="s">
        <v>63</v>
      </c>
      <c r="G481" s="3" t="str">
        <f>VLOOKUP(F481, 'KODE PESAWAT'!$A$2:$C$42, 3, FALSE)</f>
        <v>Lion Air Group</v>
      </c>
      <c r="H481" s="10">
        <v>1386000.0</v>
      </c>
      <c r="I481" s="10">
        <v>1316700.0</v>
      </c>
      <c r="J481" s="10">
        <f t="shared" si="2"/>
        <v>69300</v>
      </c>
      <c r="K481" s="11">
        <f t="shared" si="3"/>
        <v>0.05</v>
      </c>
      <c r="L481" s="3" t="str">
        <f t="shared" si="4"/>
        <v>Normal</v>
      </c>
      <c r="M481" s="10">
        <f t="shared" si="5"/>
        <v>-69300</v>
      </c>
      <c r="N481" s="3" t="str">
        <f t="shared" si="6"/>
        <v>Issued</v>
      </c>
      <c r="O481" s="3" t="str">
        <f t="shared" si="7"/>
        <v>PROFIT</v>
      </c>
      <c r="P481" s="3">
        <f t="shared" si="8"/>
        <v>1</v>
      </c>
      <c r="Q481" s="3">
        <f t="shared" si="9"/>
        <v>1</v>
      </c>
      <c r="R481" s="12">
        <f t="shared" si="10"/>
        <v>0</v>
      </c>
    </row>
    <row r="482">
      <c r="A482" s="3" t="s">
        <v>521</v>
      </c>
      <c r="B482" s="4">
        <v>46328.0</v>
      </c>
      <c r="C482" s="4" t="str">
        <f t="shared" si="1"/>
        <v>November</v>
      </c>
      <c r="D482" s="3" t="s">
        <v>23</v>
      </c>
      <c r="E482" s="3" t="s">
        <v>15</v>
      </c>
      <c r="F482" s="3" t="s">
        <v>19</v>
      </c>
      <c r="G482" s="3" t="str">
        <f>VLOOKUP(F482, 'KODE PESAWAT'!$A$2:$C$42, 3, FALSE)</f>
        <v>Lion Air Group</v>
      </c>
      <c r="H482" s="10">
        <v>1044000.0</v>
      </c>
      <c r="I482" s="10">
        <v>1461600.0</v>
      </c>
      <c r="J482" s="10">
        <f t="shared" si="2"/>
        <v>-417600</v>
      </c>
      <c r="K482" s="11">
        <f t="shared" si="3"/>
        <v>-0.4</v>
      </c>
      <c r="L482" s="3" t="str">
        <f t="shared" si="4"/>
        <v>Fare Increase</v>
      </c>
      <c r="M482" s="10">
        <f t="shared" si="5"/>
        <v>417600</v>
      </c>
      <c r="N482" s="3" t="str">
        <f t="shared" si="6"/>
        <v>Issued</v>
      </c>
      <c r="O482" s="3" t="str">
        <f t="shared" si="7"/>
        <v>LOSS</v>
      </c>
      <c r="P482" s="3">
        <f t="shared" si="8"/>
        <v>1</v>
      </c>
      <c r="Q482" s="3">
        <f t="shared" si="9"/>
        <v>0</v>
      </c>
      <c r="R482" s="12">
        <f t="shared" si="10"/>
        <v>0</v>
      </c>
    </row>
    <row r="483">
      <c r="A483" s="3" t="s">
        <v>522</v>
      </c>
      <c r="B483" s="4">
        <v>46380.0</v>
      </c>
      <c r="C483" s="4" t="str">
        <f t="shared" si="1"/>
        <v>December</v>
      </c>
      <c r="D483" s="3" t="s">
        <v>14</v>
      </c>
      <c r="E483" s="3" t="s">
        <v>15</v>
      </c>
      <c r="F483" s="3" t="s">
        <v>63</v>
      </c>
      <c r="G483" s="3" t="str">
        <f>VLOOKUP(F483, 'KODE PESAWAT'!$A$2:$C$42, 3, FALSE)</f>
        <v>Lion Air Group</v>
      </c>
      <c r="H483" s="10">
        <v>609000.0</v>
      </c>
      <c r="I483" s="10">
        <v>578550.0</v>
      </c>
      <c r="J483" s="10">
        <f t="shared" si="2"/>
        <v>30450</v>
      </c>
      <c r="K483" s="11">
        <f t="shared" si="3"/>
        <v>0.05</v>
      </c>
      <c r="L483" s="3" t="str">
        <f t="shared" si="4"/>
        <v>Normal</v>
      </c>
      <c r="M483" s="10">
        <f t="shared" si="5"/>
        <v>-30450</v>
      </c>
      <c r="N483" s="3" t="str">
        <f t="shared" si="6"/>
        <v>Issued</v>
      </c>
      <c r="O483" s="3" t="str">
        <f t="shared" si="7"/>
        <v>PROFIT</v>
      </c>
      <c r="P483" s="3">
        <f t="shared" si="8"/>
        <v>1</v>
      </c>
      <c r="Q483" s="3">
        <f t="shared" si="9"/>
        <v>1</v>
      </c>
      <c r="R483" s="12">
        <f t="shared" si="10"/>
        <v>0</v>
      </c>
    </row>
    <row r="484">
      <c r="A484" s="3" t="s">
        <v>523</v>
      </c>
      <c r="B484" s="4">
        <v>46063.0</v>
      </c>
      <c r="C484" s="4" t="str">
        <f t="shared" si="1"/>
        <v>February</v>
      </c>
      <c r="D484" s="3" t="s">
        <v>30</v>
      </c>
      <c r="E484" s="3" t="s">
        <v>15</v>
      </c>
      <c r="F484" s="3" t="s">
        <v>232</v>
      </c>
      <c r="G484" s="3" t="str">
        <f>VLOOKUP(F484, 'KODE PESAWAT'!$A$2:$C$42, 3, FALSE)</f>
        <v>Sriwijaya Air Group</v>
      </c>
      <c r="H484" s="10">
        <v>1671000.0</v>
      </c>
      <c r="I484" s="10">
        <v>1587450.0</v>
      </c>
      <c r="J484" s="10">
        <f t="shared" si="2"/>
        <v>83550</v>
      </c>
      <c r="K484" s="11">
        <f t="shared" si="3"/>
        <v>0.05</v>
      </c>
      <c r="L484" s="3" t="str">
        <f t="shared" si="4"/>
        <v>Normal</v>
      </c>
      <c r="M484" s="10">
        <f t="shared" si="5"/>
        <v>-83550</v>
      </c>
      <c r="N484" s="3" t="str">
        <f t="shared" si="6"/>
        <v>Issued</v>
      </c>
      <c r="O484" s="3" t="str">
        <f t="shared" si="7"/>
        <v>PROFIT</v>
      </c>
      <c r="P484" s="3">
        <f t="shared" si="8"/>
        <v>1</v>
      </c>
      <c r="Q484" s="3">
        <f t="shared" si="9"/>
        <v>1</v>
      </c>
      <c r="R484" s="12">
        <f t="shared" si="10"/>
        <v>0</v>
      </c>
    </row>
    <row r="485">
      <c r="A485" s="3" t="s">
        <v>524</v>
      </c>
      <c r="B485" s="4">
        <v>46237.0</v>
      </c>
      <c r="C485" s="4" t="str">
        <f t="shared" si="1"/>
        <v>August</v>
      </c>
      <c r="D485" s="3" t="s">
        <v>18</v>
      </c>
      <c r="E485" s="3" t="s">
        <v>11</v>
      </c>
      <c r="F485" s="3" t="s">
        <v>21</v>
      </c>
      <c r="G485" s="3" t="str">
        <f>VLOOKUP(F485, 'KODE PESAWAT'!$A$2:$C$42, 3, FALSE)</f>
        <v>Singapore Airlines Group</v>
      </c>
      <c r="H485" s="10">
        <v>4820000.0</v>
      </c>
      <c r="I485" s="10">
        <v>1.205E7</v>
      </c>
      <c r="J485" s="10">
        <f t="shared" si="2"/>
        <v>-7230000</v>
      </c>
      <c r="K485" s="11">
        <f t="shared" si="3"/>
        <v>-1.5</v>
      </c>
      <c r="L485" s="3" t="str">
        <f t="shared" si="4"/>
        <v>Over Buffer</v>
      </c>
      <c r="M485" s="10">
        <f t="shared" si="5"/>
        <v>-4820000</v>
      </c>
      <c r="N485" s="3" t="str">
        <f t="shared" si="6"/>
        <v>Refund</v>
      </c>
      <c r="O485" s="3" t="str">
        <f t="shared" si="7"/>
        <v>N/A</v>
      </c>
      <c r="P485" s="3">
        <f t="shared" si="8"/>
        <v>0</v>
      </c>
      <c r="Q485" s="3">
        <f t="shared" si="9"/>
        <v>0</v>
      </c>
      <c r="R485" s="12">
        <f t="shared" si="10"/>
        <v>1</v>
      </c>
    </row>
    <row r="486">
      <c r="A486" s="3" t="s">
        <v>525</v>
      </c>
      <c r="B486" s="4">
        <v>46043.0</v>
      </c>
      <c r="C486" s="4" t="str">
        <f t="shared" si="1"/>
        <v>January</v>
      </c>
      <c r="D486" s="3" t="s">
        <v>14</v>
      </c>
      <c r="E486" s="3" t="s">
        <v>15</v>
      </c>
      <c r="F486" s="3" t="s">
        <v>37</v>
      </c>
      <c r="G486" s="3" t="str">
        <f>VLOOKUP(F486, 'KODE PESAWAT'!$A$2:$C$42, 3, FALSE)</f>
        <v>Lion Air Group</v>
      </c>
      <c r="H486" s="10">
        <v>617000.0</v>
      </c>
      <c r="I486" s="10">
        <v>863800.0</v>
      </c>
      <c r="J486" s="10">
        <f t="shared" si="2"/>
        <v>-246800</v>
      </c>
      <c r="K486" s="11">
        <f t="shared" si="3"/>
        <v>-0.4</v>
      </c>
      <c r="L486" s="3" t="str">
        <f t="shared" si="4"/>
        <v>Fare Increase</v>
      </c>
      <c r="M486" s="10">
        <f t="shared" si="5"/>
        <v>246800</v>
      </c>
      <c r="N486" s="3" t="str">
        <f t="shared" si="6"/>
        <v>Issued</v>
      </c>
      <c r="O486" s="3" t="str">
        <f t="shared" si="7"/>
        <v>LOSS</v>
      </c>
      <c r="P486" s="3">
        <f t="shared" si="8"/>
        <v>1</v>
      </c>
      <c r="Q486" s="3">
        <f t="shared" si="9"/>
        <v>0</v>
      </c>
      <c r="R486" s="12">
        <f t="shared" si="10"/>
        <v>0</v>
      </c>
    </row>
    <row r="487">
      <c r="A487" s="3" t="s">
        <v>526</v>
      </c>
      <c r="B487" s="4">
        <v>46030.0</v>
      </c>
      <c r="C487" s="4" t="str">
        <f t="shared" si="1"/>
        <v>January</v>
      </c>
      <c r="D487" s="3" t="s">
        <v>10</v>
      </c>
      <c r="E487" s="3" t="s">
        <v>11</v>
      </c>
      <c r="F487" s="3" t="s">
        <v>19</v>
      </c>
      <c r="G487" s="3" t="str">
        <f>VLOOKUP(F487, 'KODE PESAWAT'!$A$2:$C$42, 3, FALSE)</f>
        <v>Lion Air Group</v>
      </c>
      <c r="H487" s="10">
        <v>1041000.0</v>
      </c>
      <c r="I487" s="10">
        <v>1457400.0</v>
      </c>
      <c r="J487" s="10">
        <f t="shared" si="2"/>
        <v>-416400</v>
      </c>
      <c r="K487" s="11">
        <f t="shared" si="3"/>
        <v>-0.4</v>
      </c>
      <c r="L487" s="3" t="str">
        <f t="shared" si="4"/>
        <v>Fare Increase</v>
      </c>
      <c r="M487" s="10">
        <f t="shared" si="5"/>
        <v>416400</v>
      </c>
      <c r="N487" s="3" t="str">
        <f t="shared" si="6"/>
        <v>Issued</v>
      </c>
      <c r="O487" s="3" t="str">
        <f t="shared" si="7"/>
        <v>LOSS</v>
      </c>
      <c r="P487" s="3">
        <f t="shared" si="8"/>
        <v>1</v>
      </c>
      <c r="Q487" s="3">
        <f t="shared" si="9"/>
        <v>0</v>
      </c>
      <c r="R487" s="12">
        <f t="shared" si="10"/>
        <v>0</v>
      </c>
    </row>
    <row r="488">
      <c r="A488" s="3" t="s">
        <v>527</v>
      </c>
      <c r="B488" s="4">
        <v>46342.0</v>
      </c>
      <c r="C488" s="4" t="str">
        <f t="shared" si="1"/>
        <v>November</v>
      </c>
      <c r="D488" s="3" t="s">
        <v>18</v>
      </c>
      <c r="E488" s="3" t="s">
        <v>11</v>
      </c>
      <c r="F488" s="3" t="s">
        <v>63</v>
      </c>
      <c r="G488" s="3" t="str">
        <f>VLOOKUP(F488, 'KODE PESAWAT'!$A$2:$C$42, 3, FALSE)</f>
        <v>Lion Air Group</v>
      </c>
      <c r="H488" s="10">
        <v>720000.0</v>
      </c>
      <c r="I488" s="10">
        <v>1007999.9999999999</v>
      </c>
      <c r="J488" s="10">
        <f t="shared" si="2"/>
        <v>-288000</v>
      </c>
      <c r="K488" s="11">
        <f t="shared" si="3"/>
        <v>-0.4</v>
      </c>
      <c r="L488" s="3" t="str">
        <f t="shared" si="4"/>
        <v>Fare Increase</v>
      </c>
      <c r="M488" s="10">
        <f t="shared" si="5"/>
        <v>288000</v>
      </c>
      <c r="N488" s="3" t="str">
        <f t="shared" si="6"/>
        <v>Issued</v>
      </c>
      <c r="O488" s="3" t="str">
        <f t="shared" si="7"/>
        <v>LOSS</v>
      </c>
      <c r="P488" s="3">
        <f t="shared" si="8"/>
        <v>1</v>
      </c>
      <c r="Q488" s="3">
        <f t="shared" si="9"/>
        <v>0</v>
      </c>
      <c r="R488" s="12">
        <f t="shared" si="10"/>
        <v>0</v>
      </c>
    </row>
    <row r="489">
      <c r="A489" s="3" t="s">
        <v>528</v>
      </c>
      <c r="B489" s="4">
        <v>46042.0</v>
      </c>
      <c r="C489" s="4" t="str">
        <f t="shared" si="1"/>
        <v>January</v>
      </c>
      <c r="D489" s="3" t="s">
        <v>14</v>
      </c>
      <c r="E489" s="3" t="s">
        <v>15</v>
      </c>
      <c r="F489" s="3" t="s">
        <v>63</v>
      </c>
      <c r="G489" s="3" t="str">
        <f>VLOOKUP(F489, 'KODE PESAWAT'!$A$2:$C$42, 3, FALSE)</f>
        <v>Lion Air Group</v>
      </c>
      <c r="H489" s="10">
        <v>1557000.0</v>
      </c>
      <c r="I489" s="10">
        <v>1790549.9999999998</v>
      </c>
      <c r="J489" s="10">
        <f t="shared" si="2"/>
        <v>-233550</v>
      </c>
      <c r="K489" s="11">
        <f t="shared" si="3"/>
        <v>-0.15</v>
      </c>
      <c r="L489" s="3" t="str">
        <f t="shared" si="4"/>
        <v>Fare Increase</v>
      </c>
      <c r="M489" s="10">
        <f t="shared" si="5"/>
        <v>233550</v>
      </c>
      <c r="N489" s="3" t="str">
        <f t="shared" si="6"/>
        <v>Issued</v>
      </c>
      <c r="O489" s="3" t="str">
        <f t="shared" si="7"/>
        <v>LOSS</v>
      </c>
      <c r="P489" s="3">
        <f t="shared" si="8"/>
        <v>1</v>
      </c>
      <c r="Q489" s="3">
        <f t="shared" si="9"/>
        <v>0</v>
      </c>
      <c r="R489" s="12">
        <f t="shared" si="10"/>
        <v>0</v>
      </c>
    </row>
    <row r="490">
      <c r="A490" s="3" t="s">
        <v>529</v>
      </c>
      <c r="B490" s="4">
        <v>46302.0</v>
      </c>
      <c r="C490" s="4" t="str">
        <f t="shared" si="1"/>
        <v>October</v>
      </c>
      <c r="D490" s="3" t="s">
        <v>25</v>
      </c>
      <c r="E490" s="3" t="s">
        <v>15</v>
      </c>
      <c r="F490" s="3" t="s">
        <v>42</v>
      </c>
      <c r="G490" s="3" t="str">
        <f>VLOOKUP(F490, 'KODE PESAWAT'!$A$2:$C$42, 3, FALSE)</f>
        <v>Vietnam Airlines Group</v>
      </c>
      <c r="H490" s="10">
        <v>621000.0</v>
      </c>
      <c r="I490" s="10">
        <v>1552500.0</v>
      </c>
      <c r="J490" s="10">
        <f t="shared" si="2"/>
        <v>-931500</v>
      </c>
      <c r="K490" s="11">
        <f t="shared" si="3"/>
        <v>-1.5</v>
      </c>
      <c r="L490" s="3" t="str">
        <f t="shared" si="4"/>
        <v>Over Buffer</v>
      </c>
      <c r="M490" s="10">
        <f t="shared" si="5"/>
        <v>-621000</v>
      </c>
      <c r="N490" s="3" t="str">
        <f t="shared" si="6"/>
        <v>Refund</v>
      </c>
      <c r="O490" s="3" t="str">
        <f t="shared" si="7"/>
        <v>N/A</v>
      </c>
      <c r="P490" s="3">
        <f t="shared" si="8"/>
        <v>0</v>
      </c>
      <c r="Q490" s="3">
        <f t="shared" si="9"/>
        <v>0</v>
      </c>
      <c r="R490" s="12">
        <f t="shared" si="10"/>
        <v>1</v>
      </c>
    </row>
    <row r="491">
      <c r="A491" s="3" t="s">
        <v>530</v>
      </c>
      <c r="B491" s="4">
        <v>46378.0</v>
      </c>
      <c r="C491" s="4" t="str">
        <f t="shared" si="1"/>
        <v>December</v>
      </c>
      <c r="D491" s="3" t="s">
        <v>30</v>
      </c>
      <c r="E491" s="3" t="s">
        <v>15</v>
      </c>
      <c r="F491" s="3" t="s">
        <v>49</v>
      </c>
      <c r="G491" s="3" t="str">
        <f>VLOOKUP(F491, 'KODE PESAWAT'!$A$2:$C$42, 3, FALSE)</f>
        <v>AirAsia Group</v>
      </c>
      <c r="H491" s="10">
        <v>1047000.0</v>
      </c>
      <c r="I491" s="10">
        <v>994650.0</v>
      </c>
      <c r="J491" s="10">
        <f t="shared" si="2"/>
        <v>52350</v>
      </c>
      <c r="K491" s="11">
        <f t="shared" si="3"/>
        <v>0.05</v>
      </c>
      <c r="L491" s="3" t="str">
        <f t="shared" si="4"/>
        <v>Normal</v>
      </c>
      <c r="M491" s="10">
        <f t="shared" si="5"/>
        <v>-52350</v>
      </c>
      <c r="N491" s="3" t="str">
        <f t="shared" si="6"/>
        <v>Issued</v>
      </c>
      <c r="O491" s="3" t="str">
        <f t="shared" si="7"/>
        <v>PROFIT</v>
      </c>
      <c r="P491" s="3">
        <f t="shared" si="8"/>
        <v>1</v>
      </c>
      <c r="Q491" s="3">
        <f t="shared" si="9"/>
        <v>1</v>
      </c>
      <c r="R491" s="12">
        <f t="shared" si="10"/>
        <v>0</v>
      </c>
    </row>
    <row r="492">
      <c r="A492" s="3" t="s">
        <v>531</v>
      </c>
      <c r="B492" s="4">
        <v>46221.0</v>
      </c>
      <c r="C492" s="4" t="str">
        <f t="shared" si="1"/>
        <v>July</v>
      </c>
      <c r="D492" s="3" t="s">
        <v>10</v>
      </c>
      <c r="E492" s="3" t="s">
        <v>11</v>
      </c>
      <c r="F492" s="3" t="s">
        <v>12</v>
      </c>
      <c r="G492" s="3" t="str">
        <f>VLOOKUP(F492, 'KODE PESAWAT'!$A$2:$C$42, 3, FALSE)</f>
        <v>AirAsia Group</v>
      </c>
      <c r="H492" s="10">
        <v>1069000.0</v>
      </c>
      <c r="I492" s="10">
        <v>1015550.0</v>
      </c>
      <c r="J492" s="10">
        <f t="shared" si="2"/>
        <v>53450</v>
      </c>
      <c r="K492" s="11">
        <f t="shared" si="3"/>
        <v>0.05</v>
      </c>
      <c r="L492" s="3" t="str">
        <f t="shared" si="4"/>
        <v>Normal</v>
      </c>
      <c r="M492" s="10">
        <f t="shared" si="5"/>
        <v>-53450</v>
      </c>
      <c r="N492" s="3" t="str">
        <f t="shared" si="6"/>
        <v>Issued</v>
      </c>
      <c r="O492" s="3" t="str">
        <f t="shared" si="7"/>
        <v>PROFIT</v>
      </c>
      <c r="P492" s="3">
        <f t="shared" si="8"/>
        <v>1</v>
      </c>
      <c r="Q492" s="3">
        <f t="shared" si="9"/>
        <v>1</v>
      </c>
      <c r="R492" s="12">
        <f t="shared" si="10"/>
        <v>0</v>
      </c>
    </row>
    <row r="493">
      <c r="A493" s="3" t="s">
        <v>532</v>
      </c>
      <c r="B493" s="4">
        <v>46298.0</v>
      </c>
      <c r="C493" s="4" t="str">
        <f t="shared" si="1"/>
        <v>October</v>
      </c>
      <c r="D493" s="3" t="s">
        <v>25</v>
      </c>
      <c r="E493" s="3" t="s">
        <v>15</v>
      </c>
      <c r="F493" s="3" t="s">
        <v>61</v>
      </c>
      <c r="G493" s="3" t="str">
        <f>VLOOKUP(F493, 'KODE PESAWAT'!$A$2:$C$42, 3, FALSE)</f>
        <v>Vietravel Group</v>
      </c>
      <c r="H493" s="10">
        <v>944000.0</v>
      </c>
      <c r="I493" s="10">
        <v>1321600.0</v>
      </c>
      <c r="J493" s="10">
        <f t="shared" si="2"/>
        <v>-377600</v>
      </c>
      <c r="K493" s="11">
        <f t="shared" si="3"/>
        <v>-0.4</v>
      </c>
      <c r="L493" s="3" t="str">
        <f t="shared" si="4"/>
        <v>Fare Increase</v>
      </c>
      <c r="M493" s="10">
        <f t="shared" si="5"/>
        <v>377600</v>
      </c>
      <c r="N493" s="3" t="str">
        <f t="shared" si="6"/>
        <v>Issued</v>
      </c>
      <c r="O493" s="3" t="str">
        <f t="shared" si="7"/>
        <v>LOSS</v>
      </c>
      <c r="P493" s="3">
        <f t="shared" si="8"/>
        <v>1</v>
      </c>
      <c r="Q493" s="3">
        <f t="shared" si="9"/>
        <v>0</v>
      </c>
      <c r="R493" s="12">
        <f t="shared" si="10"/>
        <v>0</v>
      </c>
    </row>
    <row r="494">
      <c r="A494" s="3" t="s">
        <v>533</v>
      </c>
      <c r="B494" s="4">
        <v>46103.0</v>
      </c>
      <c r="C494" s="4" t="str">
        <f t="shared" si="1"/>
        <v>March</v>
      </c>
      <c r="D494" s="3" t="s">
        <v>23</v>
      </c>
      <c r="E494" s="3" t="s">
        <v>15</v>
      </c>
      <c r="F494" s="3" t="s">
        <v>31</v>
      </c>
      <c r="G494" s="3" t="str">
        <f>VLOOKUP(F494, 'KODE PESAWAT'!$A$2:$C$42, 3, FALSE)</f>
        <v>Garuda Indonesia Group</v>
      </c>
      <c r="H494" s="10">
        <v>1695000.0</v>
      </c>
      <c r="I494" s="10">
        <v>1949249.9999999998</v>
      </c>
      <c r="J494" s="10">
        <f t="shared" si="2"/>
        <v>-254250</v>
      </c>
      <c r="K494" s="11">
        <f t="shared" si="3"/>
        <v>-0.15</v>
      </c>
      <c r="L494" s="3" t="str">
        <f t="shared" si="4"/>
        <v>Fare Increase</v>
      </c>
      <c r="M494" s="10">
        <f t="shared" si="5"/>
        <v>254250</v>
      </c>
      <c r="N494" s="3" t="str">
        <f t="shared" si="6"/>
        <v>Issued</v>
      </c>
      <c r="O494" s="3" t="str">
        <f t="shared" si="7"/>
        <v>LOSS</v>
      </c>
      <c r="P494" s="3">
        <f t="shared" si="8"/>
        <v>1</v>
      </c>
      <c r="Q494" s="3">
        <f t="shared" si="9"/>
        <v>0</v>
      </c>
      <c r="R494" s="12">
        <f t="shared" si="10"/>
        <v>0</v>
      </c>
    </row>
    <row r="495">
      <c r="A495" s="3" t="s">
        <v>534</v>
      </c>
      <c r="B495" s="4">
        <v>46118.0</v>
      </c>
      <c r="C495" s="4" t="str">
        <f t="shared" si="1"/>
        <v>April</v>
      </c>
      <c r="D495" s="3" t="s">
        <v>25</v>
      </c>
      <c r="E495" s="3" t="s">
        <v>15</v>
      </c>
      <c r="F495" s="3" t="s">
        <v>116</v>
      </c>
      <c r="G495" s="3" t="str">
        <f>VLOOKUP(F495, 'KODE PESAWAT'!$A$2:$C$42, 3, FALSE)</f>
        <v>VietJet Group</v>
      </c>
      <c r="H495" s="10">
        <v>2904000.0</v>
      </c>
      <c r="I495" s="10">
        <v>7260000.0</v>
      </c>
      <c r="J495" s="10">
        <f t="shared" si="2"/>
        <v>-4356000</v>
      </c>
      <c r="K495" s="11">
        <f t="shared" si="3"/>
        <v>-1.5</v>
      </c>
      <c r="L495" s="3" t="str">
        <f t="shared" si="4"/>
        <v>Over Buffer</v>
      </c>
      <c r="M495" s="10">
        <f t="shared" si="5"/>
        <v>-2904000</v>
      </c>
      <c r="N495" s="3" t="str">
        <f t="shared" si="6"/>
        <v>Refund</v>
      </c>
      <c r="O495" s="3" t="str">
        <f t="shared" si="7"/>
        <v>N/A</v>
      </c>
      <c r="P495" s="3">
        <f t="shared" si="8"/>
        <v>0</v>
      </c>
      <c r="Q495" s="3">
        <f t="shared" si="9"/>
        <v>0</v>
      </c>
      <c r="R495" s="12">
        <f t="shared" si="10"/>
        <v>1</v>
      </c>
    </row>
    <row r="496">
      <c r="A496" s="3" t="s">
        <v>535</v>
      </c>
      <c r="B496" s="4">
        <v>46201.0</v>
      </c>
      <c r="C496" s="4" t="str">
        <f t="shared" si="1"/>
        <v>June</v>
      </c>
      <c r="D496" s="3" t="s">
        <v>25</v>
      </c>
      <c r="E496" s="3" t="s">
        <v>15</v>
      </c>
      <c r="F496" s="3" t="s">
        <v>61</v>
      </c>
      <c r="G496" s="3" t="str">
        <f>VLOOKUP(F496, 'KODE PESAWAT'!$A$2:$C$42, 3, FALSE)</f>
        <v>Vietravel Group</v>
      </c>
      <c r="H496" s="10">
        <v>690000.0</v>
      </c>
      <c r="I496" s="10">
        <v>1725000.0</v>
      </c>
      <c r="J496" s="10">
        <f t="shared" si="2"/>
        <v>-1035000</v>
      </c>
      <c r="K496" s="11">
        <f t="shared" si="3"/>
        <v>-1.5</v>
      </c>
      <c r="L496" s="3" t="str">
        <f t="shared" si="4"/>
        <v>Over Buffer</v>
      </c>
      <c r="M496" s="10">
        <f t="shared" si="5"/>
        <v>-690000</v>
      </c>
      <c r="N496" s="3" t="str">
        <f t="shared" si="6"/>
        <v>Refund</v>
      </c>
      <c r="O496" s="3" t="str">
        <f t="shared" si="7"/>
        <v>N/A</v>
      </c>
      <c r="P496" s="3">
        <f t="shared" si="8"/>
        <v>0</v>
      </c>
      <c r="Q496" s="3">
        <f t="shared" si="9"/>
        <v>0</v>
      </c>
      <c r="R496" s="12">
        <f t="shared" si="10"/>
        <v>1</v>
      </c>
    </row>
    <row r="497">
      <c r="A497" s="3" t="s">
        <v>536</v>
      </c>
      <c r="B497" s="4">
        <v>46368.0</v>
      </c>
      <c r="C497" s="4" t="str">
        <f t="shared" si="1"/>
        <v>December</v>
      </c>
      <c r="D497" s="3" t="s">
        <v>25</v>
      </c>
      <c r="E497" s="3" t="s">
        <v>15</v>
      </c>
      <c r="F497" s="3" t="s">
        <v>116</v>
      </c>
      <c r="G497" s="3" t="str">
        <f>VLOOKUP(F497, 'KODE PESAWAT'!$A$2:$C$42, 3, FALSE)</f>
        <v>VietJet Group</v>
      </c>
      <c r="H497" s="10">
        <v>1.1064E7</v>
      </c>
      <c r="I497" s="10">
        <v>2.766E7</v>
      </c>
      <c r="J497" s="10">
        <f t="shared" si="2"/>
        <v>-16596000</v>
      </c>
      <c r="K497" s="11">
        <f t="shared" si="3"/>
        <v>-1.5</v>
      </c>
      <c r="L497" s="3" t="str">
        <f t="shared" si="4"/>
        <v>Over Buffer</v>
      </c>
      <c r="M497" s="10">
        <f t="shared" si="5"/>
        <v>-11064000</v>
      </c>
      <c r="N497" s="3" t="str">
        <f t="shared" si="6"/>
        <v>Refund</v>
      </c>
      <c r="O497" s="3" t="str">
        <f t="shared" si="7"/>
        <v>N/A</v>
      </c>
      <c r="P497" s="3">
        <f t="shared" si="8"/>
        <v>0</v>
      </c>
      <c r="Q497" s="3">
        <f t="shared" si="9"/>
        <v>0</v>
      </c>
      <c r="R497" s="12">
        <f t="shared" si="10"/>
        <v>1</v>
      </c>
    </row>
    <row r="498">
      <c r="A498" s="3" t="s">
        <v>537</v>
      </c>
      <c r="B498" s="4">
        <v>46042.0</v>
      </c>
      <c r="C498" s="4" t="str">
        <f t="shared" si="1"/>
        <v>January</v>
      </c>
      <c r="D498" s="3" t="s">
        <v>18</v>
      </c>
      <c r="E498" s="3" t="s">
        <v>11</v>
      </c>
      <c r="F498" s="3" t="s">
        <v>63</v>
      </c>
      <c r="G498" s="3" t="str">
        <f>VLOOKUP(F498, 'KODE PESAWAT'!$A$2:$C$42, 3, FALSE)</f>
        <v>Lion Air Group</v>
      </c>
      <c r="H498" s="10">
        <v>722000.0</v>
      </c>
      <c r="I498" s="10">
        <v>1010799.9999999999</v>
      </c>
      <c r="J498" s="10">
        <f t="shared" si="2"/>
        <v>-288800</v>
      </c>
      <c r="K498" s="11">
        <f t="shared" si="3"/>
        <v>-0.4</v>
      </c>
      <c r="L498" s="3" t="str">
        <f t="shared" si="4"/>
        <v>Fare Increase</v>
      </c>
      <c r="M498" s="10">
        <f t="shared" si="5"/>
        <v>288800</v>
      </c>
      <c r="N498" s="3" t="str">
        <f t="shared" si="6"/>
        <v>Issued</v>
      </c>
      <c r="O498" s="3" t="str">
        <f t="shared" si="7"/>
        <v>LOSS</v>
      </c>
      <c r="P498" s="3">
        <f t="shared" si="8"/>
        <v>1</v>
      </c>
      <c r="Q498" s="3">
        <f t="shared" si="9"/>
        <v>0</v>
      </c>
      <c r="R498" s="12">
        <f t="shared" si="10"/>
        <v>0</v>
      </c>
    </row>
    <row r="499">
      <c r="A499" s="3" t="s">
        <v>538</v>
      </c>
      <c r="B499" s="4">
        <v>46308.0</v>
      </c>
      <c r="C499" s="4" t="str">
        <f t="shared" si="1"/>
        <v>October</v>
      </c>
      <c r="D499" s="3" t="s">
        <v>10</v>
      </c>
      <c r="E499" s="3" t="s">
        <v>11</v>
      </c>
      <c r="F499" s="3" t="s">
        <v>63</v>
      </c>
      <c r="G499" s="3" t="str">
        <f>VLOOKUP(F499, 'KODE PESAWAT'!$A$2:$C$42, 3, FALSE)</f>
        <v>Lion Air Group</v>
      </c>
      <c r="H499" s="10">
        <v>763000.0</v>
      </c>
      <c r="I499" s="10">
        <v>1068200.0</v>
      </c>
      <c r="J499" s="10">
        <f t="shared" si="2"/>
        <v>-305200</v>
      </c>
      <c r="K499" s="11">
        <f t="shared" si="3"/>
        <v>-0.4</v>
      </c>
      <c r="L499" s="3" t="str">
        <f t="shared" si="4"/>
        <v>Fare Increase</v>
      </c>
      <c r="M499" s="10">
        <f t="shared" si="5"/>
        <v>305200</v>
      </c>
      <c r="N499" s="3" t="str">
        <f t="shared" si="6"/>
        <v>Issued</v>
      </c>
      <c r="O499" s="3" t="str">
        <f t="shared" si="7"/>
        <v>LOSS</v>
      </c>
      <c r="P499" s="3">
        <f t="shared" si="8"/>
        <v>1</v>
      </c>
      <c r="Q499" s="3">
        <f t="shared" si="9"/>
        <v>0</v>
      </c>
      <c r="R499" s="12">
        <f t="shared" si="10"/>
        <v>0</v>
      </c>
    </row>
    <row r="500">
      <c r="A500" s="3" t="s">
        <v>539</v>
      </c>
      <c r="B500" s="4">
        <v>46092.0</v>
      </c>
      <c r="C500" s="4" t="str">
        <f t="shared" si="1"/>
        <v>March</v>
      </c>
      <c r="D500" s="3" t="s">
        <v>14</v>
      </c>
      <c r="E500" s="3" t="s">
        <v>15</v>
      </c>
      <c r="F500" s="3" t="s">
        <v>63</v>
      </c>
      <c r="G500" s="3" t="str">
        <f>VLOOKUP(F500, 'KODE PESAWAT'!$A$2:$C$42, 3, FALSE)</f>
        <v>Lion Air Group</v>
      </c>
      <c r="H500" s="10">
        <v>1429000.0</v>
      </c>
      <c r="I500" s="10">
        <v>1643349.9999999998</v>
      </c>
      <c r="J500" s="10">
        <f t="shared" si="2"/>
        <v>-214350</v>
      </c>
      <c r="K500" s="11">
        <f t="shared" si="3"/>
        <v>-0.15</v>
      </c>
      <c r="L500" s="3" t="str">
        <f t="shared" si="4"/>
        <v>Fare Increase</v>
      </c>
      <c r="M500" s="10">
        <f t="shared" si="5"/>
        <v>214350</v>
      </c>
      <c r="N500" s="3" t="str">
        <f t="shared" si="6"/>
        <v>Issued</v>
      </c>
      <c r="O500" s="3" t="str">
        <f t="shared" si="7"/>
        <v>LOSS</v>
      </c>
      <c r="P500" s="3">
        <f t="shared" si="8"/>
        <v>1</v>
      </c>
      <c r="Q500" s="3">
        <f t="shared" si="9"/>
        <v>0</v>
      </c>
      <c r="R500" s="12">
        <f t="shared" si="10"/>
        <v>0</v>
      </c>
    </row>
    <row r="501">
      <c r="A501" s="3" t="s">
        <v>540</v>
      </c>
      <c r="B501" s="4">
        <v>46122.0</v>
      </c>
      <c r="C501" s="4" t="str">
        <f t="shared" si="1"/>
        <v>April</v>
      </c>
      <c r="D501" s="3" t="s">
        <v>18</v>
      </c>
      <c r="E501" s="3" t="s">
        <v>11</v>
      </c>
      <c r="F501" s="3" t="s">
        <v>21</v>
      </c>
      <c r="G501" s="3" t="str">
        <f>VLOOKUP(F501, 'KODE PESAWAT'!$A$2:$C$42, 3, FALSE)</f>
        <v>Singapore Airlines Group</v>
      </c>
      <c r="H501" s="10">
        <v>1611000.0</v>
      </c>
      <c r="I501" s="10">
        <v>1852649.9999999998</v>
      </c>
      <c r="J501" s="10">
        <f t="shared" si="2"/>
        <v>-241650</v>
      </c>
      <c r="K501" s="11">
        <f t="shared" si="3"/>
        <v>-0.15</v>
      </c>
      <c r="L501" s="3" t="str">
        <f t="shared" si="4"/>
        <v>Fare Increase</v>
      </c>
      <c r="M501" s="10">
        <f t="shared" si="5"/>
        <v>241650</v>
      </c>
      <c r="N501" s="3" t="str">
        <f t="shared" si="6"/>
        <v>Issued</v>
      </c>
      <c r="O501" s="3" t="str">
        <f t="shared" si="7"/>
        <v>LOSS</v>
      </c>
      <c r="P501" s="3">
        <f t="shared" si="8"/>
        <v>1</v>
      </c>
      <c r="Q501" s="3">
        <f t="shared" si="9"/>
        <v>0</v>
      </c>
      <c r="R501" s="12">
        <f t="shared" si="10"/>
        <v>0</v>
      </c>
    </row>
    <row r="502">
      <c r="A502" s="3" t="s">
        <v>541</v>
      </c>
      <c r="B502" s="4">
        <v>46248.0</v>
      </c>
      <c r="C502" s="4" t="str">
        <f t="shared" si="1"/>
        <v>August</v>
      </c>
      <c r="D502" s="3" t="s">
        <v>23</v>
      </c>
      <c r="E502" s="3" t="s">
        <v>15</v>
      </c>
      <c r="F502" s="3" t="s">
        <v>31</v>
      </c>
      <c r="G502" s="3" t="str">
        <f>VLOOKUP(F502, 'KODE PESAWAT'!$A$2:$C$42, 3, FALSE)</f>
        <v>Garuda Indonesia Group</v>
      </c>
      <c r="H502" s="10">
        <v>3779000.0</v>
      </c>
      <c r="I502" s="10">
        <v>3590050.0</v>
      </c>
      <c r="J502" s="10">
        <f t="shared" si="2"/>
        <v>188950</v>
      </c>
      <c r="K502" s="11">
        <f t="shared" si="3"/>
        <v>0.05</v>
      </c>
      <c r="L502" s="3" t="str">
        <f t="shared" si="4"/>
        <v>Normal</v>
      </c>
      <c r="M502" s="10">
        <f t="shared" si="5"/>
        <v>-188950</v>
      </c>
      <c r="N502" s="3" t="str">
        <f t="shared" si="6"/>
        <v>Issued</v>
      </c>
      <c r="O502" s="3" t="str">
        <f t="shared" si="7"/>
        <v>PROFIT</v>
      </c>
      <c r="P502" s="3">
        <f t="shared" si="8"/>
        <v>1</v>
      </c>
      <c r="Q502" s="3">
        <f t="shared" si="9"/>
        <v>1</v>
      </c>
      <c r="R502" s="12">
        <f t="shared" si="10"/>
        <v>0</v>
      </c>
    </row>
    <row r="503">
      <c r="A503" s="3" t="s">
        <v>542</v>
      </c>
      <c r="B503" s="4">
        <v>46379.0</v>
      </c>
      <c r="C503" s="4" t="str">
        <f t="shared" si="1"/>
        <v>December</v>
      </c>
      <c r="D503" s="3" t="s">
        <v>30</v>
      </c>
      <c r="E503" s="3" t="s">
        <v>15</v>
      </c>
      <c r="F503" s="3" t="s">
        <v>49</v>
      </c>
      <c r="G503" s="3" t="str">
        <f>VLOOKUP(F503, 'KODE PESAWAT'!$A$2:$C$42, 3, FALSE)</f>
        <v>AirAsia Group</v>
      </c>
      <c r="H503" s="10">
        <v>854000.0</v>
      </c>
      <c r="I503" s="10">
        <v>982099.9999999999</v>
      </c>
      <c r="J503" s="10">
        <f t="shared" si="2"/>
        <v>-128100</v>
      </c>
      <c r="K503" s="11">
        <f t="shared" si="3"/>
        <v>-0.15</v>
      </c>
      <c r="L503" s="3" t="str">
        <f t="shared" si="4"/>
        <v>Fare Increase</v>
      </c>
      <c r="M503" s="10">
        <f t="shared" si="5"/>
        <v>128100</v>
      </c>
      <c r="N503" s="3" t="str">
        <f t="shared" si="6"/>
        <v>Issued</v>
      </c>
      <c r="O503" s="3" t="str">
        <f t="shared" si="7"/>
        <v>LOSS</v>
      </c>
      <c r="P503" s="3">
        <f t="shared" si="8"/>
        <v>1</v>
      </c>
      <c r="Q503" s="3">
        <f t="shared" si="9"/>
        <v>0</v>
      </c>
      <c r="R503" s="12">
        <f t="shared" si="10"/>
        <v>0</v>
      </c>
    </row>
    <row r="504">
      <c r="A504" s="3" t="s">
        <v>543</v>
      </c>
      <c r="B504" s="4">
        <v>46046.0</v>
      </c>
      <c r="C504" s="4" t="str">
        <f t="shared" si="1"/>
        <v>January</v>
      </c>
      <c r="D504" s="3" t="s">
        <v>18</v>
      </c>
      <c r="E504" s="3" t="s">
        <v>11</v>
      </c>
      <c r="F504" s="3" t="s">
        <v>21</v>
      </c>
      <c r="G504" s="3" t="str">
        <f>VLOOKUP(F504, 'KODE PESAWAT'!$A$2:$C$42, 3, FALSE)</f>
        <v>Singapore Airlines Group</v>
      </c>
      <c r="H504" s="10">
        <v>1.0707E7</v>
      </c>
      <c r="I504" s="10">
        <v>2.67675E7</v>
      </c>
      <c r="J504" s="10">
        <f t="shared" si="2"/>
        <v>-16060500</v>
      </c>
      <c r="K504" s="11">
        <f t="shared" si="3"/>
        <v>-1.5</v>
      </c>
      <c r="L504" s="3" t="str">
        <f t="shared" si="4"/>
        <v>Over Buffer</v>
      </c>
      <c r="M504" s="10">
        <f t="shared" si="5"/>
        <v>-10707000</v>
      </c>
      <c r="N504" s="3" t="str">
        <f t="shared" si="6"/>
        <v>Refund</v>
      </c>
      <c r="O504" s="3" t="str">
        <f t="shared" si="7"/>
        <v>N/A</v>
      </c>
      <c r="P504" s="3">
        <f t="shared" si="8"/>
        <v>0</v>
      </c>
      <c r="Q504" s="3">
        <f t="shared" si="9"/>
        <v>0</v>
      </c>
      <c r="R504" s="12">
        <f t="shared" si="10"/>
        <v>1</v>
      </c>
    </row>
    <row r="505">
      <c r="A505" s="3" t="s">
        <v>544</v>
      </c>
      <c r="B505" s="4">
        <v>46341.0</v>
      </c>
      <c r="C505" s="4" t="str">
        <f t="shared" si="1"/>
        <v>November</v>
      </c>
      <c r="D505" s="3" t="s">
        <v>14</v>
      </c>
      <c r="E505" s="3" t="s">
        <v>15</v>
      </c>
      <c r="F505" s="3" t="s">
        <v>16</v>
      </c>
      <c r="G505" s="3" t="str">
        <f>VLOOKUP(F505, 'KODE PESAWAT'!$A$2:$C$42, 3, FALSE)</f>
        <v>Thai Airways Group (Associate)</v>
      </c>
      <c r="H505" s="10">
        <v>1.421E7</v>
      </c>
      <c r="I505" s="10">
        <v>1.6341499999999998E7</v>
      </c>
      <c r="J505" s="10">
        <f t="shared" si="2"/>
        <v>-2131500</v>
      </c>
      <c r="K505" s="11">
        <f t="shared" si="3"/>
        <v>-0.15</v>
      </c>
      <c r="L505" s="3" t="str">
        <f t="shared" si="4"/>
        <v>Fare Increase</v>
      </c>
      <c r="M505" s="10">
        <f t="shared" si="5"/>
        <v>2131500</v>
      </c>
      <c r="N505" s="3" t="str">
        <f t="shared" si="6"/>
        <v>Issued</v>
      </c>
      <c r="O505" s="3" t="str">
        <f t="shared" si="7"/>
        <v>LOSS</v>
      </c>
      <c r="P505" s="3">
        <f t="shared" si="8"/>
        <v>1</v>
      </c>
      <c r="Q505" s="3">
        <f t="shared" si="9"/>
        <v>0</v>
      </c>
      <c r="R505" s="12">
        <f t="shared" si="10"/>
        <v>0</v>
      </c>
    </row>
    <row r="506">
      <c r="A506" s="3" t="s">
        <v>545</v>
      </c>
      <c r="B506" s="4">
        <v>46322.0</v>
      </c>
      <c r="C506" s="4" t="str">
        <f t="shared" si="1"/>
        <v>October</v>
      </c>
      <c r="D506" s="3" t="s">
        <v>23</v>
      </c>
      <c r="E506" s="3" t="s">
        <v>15</v>
      </c>
      <c r="F506" s="3" t="s">
        <v>31</v>
      </c>
      <c r="G506" s="3" t="str">
        <f>VLOOKUP(F506, 'KODE PESAWAT'!$A$2:$C$42, 3, FALSE)</f>
        <v>Garuda Indonesia Group</v>
      </c>
      <c r="H506" s="10">
        <v>754000.0</v>
      </c>
      <c r="I506" s="10">
        <v>1055600.0</v>
      </c>
      <c r="J506" s="10">
        <f t="shared" si="2"/>
        <v>-301600</v>
      </c>
      <c r="K506" s="11">
        <f t="shared" si="3"/>
        <v>-0.4</v>
      </c>
      <c r="L506" s="3" t="str">
        <f t="shared" si="4"/>
        <v>Fare Increase</v>
      </c>
      <c r="M506" s="10">
        <f t="shared" si="5"/>
        <v>301600</v>
      </c>
      <c r="N506" s="3" t="str">
        <f t="shared" si="6"/>
        <v>Issued</v>
      </c>
      <c r="O506" s="3" t="str">
        <f t="shared" si="7"/>
        <v>LOSS</v>
      </c>
      <c r="P506" s="3">
        <f t="shared" si="8"/>
        <v>1</v>
      </c>
      <c r="Q506" s="3">
        <f t="shared" si="9"/>
        <v>0</v>
      </c>
      <c r="R506" s="12">
        <f t="shared" si="10"/>
        <v>0</v>
      </c>
    </row>
    <row r="507">
      <c r="A507" s="3" t="s">
        <v>546</v>
      </c>
      <c r="B507" s="4">
        <v>46227.0</v>
      </c>
      <c r="C507" s="4" t="str">
        <f t="shared" si="1"/>
        <v>July</v>
      </c>
      <c r="D507" s="3" t="s">
        <v>23</v>
      </c>
      <c r="E507" s="3" t="s">
        <v>15</v>
      </c>
      <c r="F507" s="3" t="s">
        <v>19</v>
      </c>
      <c r="G507" s="3" t="str">
        <f>VLOOKUP(F507, 'KODE PESAWAT'!$A$2:$C$42, 3, FALSE)</f>
        <v>Lion Air Group</v>
      </c>
      <c r="H507" s="10">
        <v>994000.0</v>
      </c>
      <c r="I507" s="10">
        <v>1143100.0</v>
      </c>
      <c r="J507" s="10">
        <f t="shared" si="2"/>
        <v>-149100</v>
      </c>
      <c r="K507" s="11">
        <f t="shared" si="3"/>
        <v>-0.15</v>
      </c>
      <c r="L507" s="3" t="str">
        <f t="shared" si="4"/>
        <v>Fare Increase</v>
      </c>
      <c r="M507" s="10">
        <f t="shared" si="5"/>
        <v>149100</v>
      </c>
      <c r="N507" s="3" t="str">
        <f t="shared" si="6"/>
        <v>Issued</v>
      </c>
      <c r="O507" s="3" t="str">
        <f t="shared" si="7"/>
        <v>LOSS</v>
      </c>
      <c r="P507" s="3">
        <f t="shared" si="8"/>
        <v>1</v>
      </c>
      <c r="Q507" s="3">
        <f t="shared" si="9"/>
        <v>0</v>
      </c>
      <c r="R507" s="12">
        <f t="shared" si="10"/>
        <v>0</v>
      </c>
    </row>
    <row r="508">
      <c r="A508" s="3" t="s">
        <v>547</v>
      </c>
      <c r="B508" s="4">
        <v>46174.0</v>
      </c>
      <c r="C508" s="4" t="str">
        <f t="shared" si="1"/>
        <v>June</v>
      </c>
      <c r="D508" s="3" t="s">
        <v>25</v>
      </c>
      <c r="E508" s="3" t="s">
        <v>15</v>
      </c>
      <c r="F508" s="3" t="s">
        <v>42</v>
      </c>
      <c r="G508" s="3" t="str">
        <f>VLOOKUP(F508, 'KODE PESAWAT'!$A$2:$C$42, 3, FALSE)</f>
        <v>Vietnam Airlines Group</v>
      </c>
      <c r="H508" s="10">
        <v>9144000.0</v>
      </c>
      <c r="I508" s="10">
        <v>1.28016E7</v>
      </c>
      <c r="J508" s="10">
        <f t="shared" si="2"/>
        <v>-3657600</v>
      </c>
      <c r="K508" s="11">
        <f t="shared" si="3"/>
        <v>-0.4</v>
      </c>
      <c r="L508" s="3" t="str">
        <f t="shared" si="4"/>
        <v>Fare Increase</v>
      </c>
      <c r="M508" s="10">
        <f t="shared" si="5"/>
        <v>3657600</v>
      </c>
      <c r="N508" s="3" t="str">
        <f t="shared" si="6"/>
        <v>Issued</v>
      </c>
      <c r="O508" s="3" t="str">
        <f t="shared" si="7"/>
        <v>LOSS</v>
      </c>
      <c r="P508" s="3">
        <f t="shared" si="8"/>
        <v>1</v>
      </c>
      <c r="Q508" s="3">
        <f t="shared" si="9"/>
        <v>0</v>
      </c>
      <c r="R508" s="12">
        <f t="shared" si="10"/>
        <v>0</v>
      </c>
    </row>
    <row r="509">
      <c r="A509" s="3" t="s">
        <v>548</v>
      </c>
      <c r="B509" s="4">
        <v>46281.0</v>
      </c>
      <c r="C509" s="4" t="str">
        <f t="shared" si="1"/>
        <v>September</v>
      </c>
      <c r="D509" s="3" t="s">
        <v>23</v>
      </c>
      <c r="E509" s="3" t="s">
        <v>15</v>
      </c>
      <c r="F509" s="3" t="s">
        <v>19</v>
      </c>
      <c r="G509" s="3" t="str">
        <f>VLOOKUP(F509, 'KODE PESAWAT'!$A$2:$C$42, 3, FALSE)</f>
        <v>Lion Air Group</v>
      </c>
      <c r="H509" s="10">
        <v>1271000.0</v>
      </c>
      <c r="I509" s="10">
        <v>1779400.0</v>
      </c>
      <c r="J509" s="10">
        <f t="shared" si="2"/>
        <v>-508400</v>
      </c>
      <c r="K509" s="11">
        <f t="shared" si="3"/>
        <v>-0.4</v>
      </c>
      <c r="L509" s="3" t="str">
        <f t="shared" si="4"/>
        <v>Fare Increase</v>
      </c>
      <c r="M509" s="10">
        <f t="shared" si="5"/>
        <v>508400</v>
      </c>
      <c r="N509" s="3" t="str">
        <f t="shared" si="6"/>
        <v>Issued</v>
      </c>
      <c r="O509" s="3" t="str">
        <f t="shared" si="7"/>
        <v>LOSS</v>
      </c>
      <c r="P509" s="3">
        <f t="shared" si="8"/>
        <v>1</v>
      </c>
      <c r="Q509" s="3">
        <f t="shared" si="9"/>
        <v>0</v>
      </c>
      <c r="R509" s="12">
        <f t="shared" si="10"/>
        <v>0</v>
      </c>
    </row>
    <row r="510">
      <c r="A510" s="3" t="s">
        <v>549</v>
      </c>
      <c r="B510" s="4">
        <v>46170.0</v>
      </c>
      <c r="C510" s="4" t="str">
        <f t="shared" si="1"/>
        <v>May</v>
      </c>
      <c r="D510" s="3" t="s">
        <v>23</v>
      </c>
      <c r="E510" s="3" t="s">
        <v>15</v>
      </c>
      <c r="F510" s="3" t="s">
        <v>19</v>
      </c>
      <c r="G510" s="3" t="str">
        <f>VLOOKUP(F510, 'KODE PESAWAT'!$A$2:$C$42, 3, FALSE)</f>
        <v>Lion Air Group</v>
      </c>
      <c r="H510" s="10">
        <v>479000.0</v>
      </c>
      <c r="I510" s="10">
        <v>455050.0</v>
      </c>
      <c r="J510" s="10">
        <f t="shared" si="2"/>
        <v>23950</v>
      </c>
      <c r="K510" s="11">
        <f t="shared" si="3"/>
        <v>0.05</v>
      </c>
      <c r="L510" s="3" t="str">
        <f t="shared" si="4"/>
        <v>Normal</v>
      </c>
      <c r="M510" s="10">
        <f t="shared" si="5"/>
        <v>-23950</v>
      </c>
      <c r="N510" s="3" t="str">
        <f t="shared" si="6"/>
        <v>Issued</v>
      </c>
      <c r="O510" s="3" t="str">
        <f t="shared" si="7"/>
        <v>PROFIT</v>
      </c>
      <c r="P510" s="3">
        <f t="shared" si="8"/>
        <v>1</v>
      </c>
      <c r="Q510" s="3">
        <f t="shared" si="9"/>
        <v>1</v>
      </c>
      <c r="R510" s="12">
        <f t="shared" si="10"/>
        <v>0</v>
      </c>
    </row>
    <row r="511">
      <c r="A511" s="3" t="s">
        <v>550</v>
      </c>
      <c r="B511" s="4">
        <v>46076.0</v>
      </c>
      <c r="C511" s="4" t="str">
        <f t="shared" si="1"/>
        <v>February</v>
      </c>
      <c r="D511" s="3" t="s">
        <v>10</v>
      </c>
      <c r="E511" s="3" t="s">
        <v>11</v>
      </c>
      <c r="F511" s="3" t="s">
        <v>35</v>
      </c>
      <c r="G511" s="3" t="str">
        <f>VLOOKUP(F511, 'KODE PESAWAT'!$A$2:$C$42, 3, FALSE)</f>
        <v>Lion Air Group</v>
      </c>
      <c r="H511" s="10">
        <v>505000.0</v>
      </c>
      <c r="I511" s="10">
        <v>1262500.0</v>
      </c>
      <c r="J511" s="10">
        <f t="shared" si="2"/>
        <v>-757500</v>
      </c>
      <c r="K511" s="11">
        <f t="shared" si="3"/>
        <v>-1.5</v>
      </c>
      <c r="L511" s="3" t="str">
        <f t="shared" si="4"/>
        <v>Over Buffer</v>
      </c>
      <c r="M511" s="10">
        <f t="shared" si="5"/>
        <v>-505000</v>
      </c>
      <c r="N511" s="3" t="str">
        <f t="shared" si="6"/>
        <v>Refund</v>
      </c>
      <c r="O511" s="3" t="str">
        <f t="shared" si="7"/>
        <v>N/A</v>
      </c>
      <c r="P511" s="3">
        <f t="shared" si="8"/>
        <v>0</v>
      </c>
      <c r="Q511" s="3">
        <f t="shared" si="9"/>
        <v>0</v>
      </c>
      <c r="R511" s="12">
        <f t="shared" si="10"/>
        <v>1</v>
      </c>
    </row>
    <row r="512">
      <c r="A512" s="3" t="s">
        <v>551</v>
      </c>
      <c r="B512" s="4">
        <v>46182.0</v>
      </c>
      <c r="C512" s="4" t="str">
        <f t="shared" si="1"/>
        <v>June</v>
      </c>
      <c r="D512" s="3" t="s">
        <v>30</v>
      </c>
      <c r="E512" s="3" t="s">
        <v>15</v>
      </c>
      <c r="F512" s="3" t="s">
        <v>35</v>
      </c>
      <c r="G512" s="3" t="str">
        <f>VLOOKUP(F512, 'KODE PESAWAT'!$A$2:$C$42, 3, FALSE)</f>
        <v>Lion Air Group</v>
      </c>
      <c r="H512" s="10">
        <v>1160000.0</v>
      </c>
      <c r="I512" s="10">
        <v>1334000.0</v>
      </c>
      <c r="J512" s="10">
        <f t="shared" si="2"/>
        <v>-174000</v>
      </c>
      <c r="K512" s="11">
        <f t="shared" si="3"/>
        <v>-0.15</v>
      </c>
      <c r="L512" s="3" t="str">
        <f t="shared" si="4"/>
        <v>Fare Increase</v>
      </c>
      <c r="M512" s="10">
        <f t="shared" si="5"/>
        <v>174000</v>
      </c>
      <c r="N512" s="3" t="str">
        <f t="shared" si="6"/>
        <v>Issued</v>
      </c>
      <c r="O512" s="3" t="str">
        <f t="shared" si="7"/>
        <v>LOSS</v>
      </c>
      <c r="P512" s="3">
        <f t="shared" si="8"/>
        <v>1</v>
      </c>
      <c r="Q512" s="3">
        <f t="shared" si="9"/>
        <v>0</v>
      </c>
      <c r="R512" s="12">
        <f t="shared" si="10"/>
        <v>0</v>
      </c>
    </row>
    <row r="513">
      <c r="A513" s="3" t="s">
        <v>552</v>
      </c>
      <c r="B513" s="4">
        <v>46292.0</v>
      </c>
      <c r="C513" s="4" t="str">
        <f t="shared" si="1"/>
        <v>September</v>
      </c>
      <c r="D513" s="3" t="s">
        <v>23</v>
      </c>
      <c r="E513" s="3" t="s">
        <v>15</v>
      </c>
      <c r="F513" s="3" t="s">
        <v>31</v>
      </c>
      <c r="G513" s="3" t="str">
        <f>VLOOKUP(F513, 'KODE PESAWAT'!$A$2:$C$42, 3, FALSE)</f>
        <v>Garuda Indonesia Group</v>
      </c>
      <c r="H513" s="10">
        <v>1670000.0</v>
      </c>
      <c r="I513" s="10">
        <v>4175000.0</v>
      </c>
      <c r="J513" s="10">
        <f t="shared" si="2"/>
        <v>-2505000</v>
      </c>
      <c r="K513" s="11">
        <f t="shared" si="3"/>
        <v>-1.5</v>
      </c>
      <c r="L513" s="3" t="str">
        <f t="shared" si="4"/>
        <v>Over Buffer</v>
      </c>
      <c r="M513" s="10">
        <f t="shared" si="5"/>
        <v>-1670000</v>
      </c>
      <c r="N513" s="3" t="str">
        <f t="shared" si="6"/>
        <v>Refund</v>
      </c>
      <c r="O513" s="3" t="str">
        <f t="shared" si="7"/>
        <v>N/A</v>
      </c>
      <c r="P513" s="3">
        <f t="shared" si="8"/>
        <v>0</v>
      </c>
      <c r="Q513" s="3">
        <f t="shared" si="9"/>
        <v>0</v>
      </c>
      <c r="R513" s="12">
        <f t="shared" si="10"/>
        <v>1</v>
      </c>
    </row>
    <row r="514">
      <c r="A514" s="3" t="s">
        <v>553</v>
      </c>
      <c r="B514" s="4">
        <v>46299.0</v>
      </c>
      <c r="C514" s="4" t="str">
        <f t="shared" si="1"/>
        <v>October</v>
      </c>
      <c r="D514" s="3" t="s">
        <v>14</v>
      </c>
      <c r="E514" s="3" t="s">
        <v>15</v>
      </c>
      <c r="F514" s="3" t="s">
        <v>16</v>
      </c>
      <c r="G514" s="3" t="str">
        <f>VLOOKUP(F514, 'KODE PESAWAT'!$A$2:$C$42, 3, FALSE)</f>
        <v>Thai Airways Group (Associate)</v>
      </c>
      <c r="H514" s="10">
        <v>694000.0</v>
      </c>
      <c r="I514" s="10">
        <v>798099.9999999999</v>
      </c>
      <c r="J514" s="10">
        <f t="shared" si="2"/>
        <v>-104100</v>
      </c>
      <c r="K514" s="11">
        <f t="shared" si="3"/>
        <v>-0.15</v>
      </c>
      <c r="L514" s="3" t="str">
        <f t="shared" si="4"/>
        <v>Fare Increase</v>
      </c>
      <c r="M514" s="10">
        <f t="shared" si="5"/>
        <v>104100</v>
      </c>
      <c r="N514" s="3" t="str">
        <f t="shared" si="6"/>
        <v>Issued</v>
      </c>
      <c r="O514" s="3" t="str">
        <f t="shared" si="7"/>
        <v>LOSS</v>
      </c>
      <c r="P514" s="3">
        <f t="shared" si="8"/>
        <v>1</v>
      </c>
      <c r="Q514" s="3">
        <f t="shared" si="9"/>
        <v>0</v>
      </c>
      <c r="R514" s="12">
        <f t="shared" si="10"/>
        <v>0</v>
      </c>
    </row>
    <row r="515">
      <c r="A515" s="3" t="s">
        <v>554</v>
      </c>
      <c r="B515" s="4">
        <v>46287.0</v>
      </c>
      <c r="C515" s="4" t="str">
        <f t="shared" si="1"/>
        <v>September</v>
      </c>
      <c r="D515" s="3" t="s">
        <v>14</v>
      </c>
      <c r="E515" s="3" t="s">
        <v>15</v>
      </c>
      <c r="F515" s="3" t="s">
        <v>16</v>
      </c>
      <c r="G515" s="3" t="str">
        <f>VLOOKUP(F515, 'KODE PESAWAT'!$A$2:$C$42, 3, FALSE)</f>
        <v>Thai Airways Group (Associate)</v>
      </c>
      <c r="H515" s="10">
        <v>1716000.0</v>
      </c>
      <c r="I515" s="10">
        <v>2402400.0</v>
      </c>
      <c r="J515" s="10">
        <f t="shared" si="2"/>
        <v>-686400</v>
      </c>
      <c r="K515" s="11">
        <f t="shared" si="3"/>
        <v>-0.4</v>
      </c>
      <c r="L515" s="3" t="str">
        <f t="shared" si="4"/>
        <v>Fare Increase</v>
      </c>
      <c r="M515" s="10">
        <f t="shared" si="5"/>
        <v>686400</v>
      </c>
      <c r="N515" s="3" t="str">
        <f t="shared" si="6"/>
        <v>Issued</v>
      </c>
      <c r="O515" s="3" t="str">
        <f t="shared" si="7"/>
        <v>LOSS</v>
      </c>
      <c r="P515" s="3">
        <f t="shared" si="8"/>
        <v>1</v>
      </c>
      <c r="Q515" s="3">
        <f t="shared" si="9"/>
        <v>0</v>
      </c>
      <c r="R515" s="12">
        <f t="shared" si="10"/>
        <v>0</v>
      </c>
    </row>
    <row r="516">
      <c r="A516" s="3" t="s">
        <v>555</v>
      </c>
      <c r="B516" s="4">
        <v>46143.0</v>
      </c>
      <c r="C516" s="4" t="str">
        <f t="shared" si="1"/>
        <v>May</v>
      </c>
      <c r="D516" s="3" t="s">
        <v>25</v>
      </c>
      <c r="E516" s="3" t="s">
        <v>15</v>
      </c>
      <c r="F516" s="3" t="s">
        <v>42</v>
      </c>
      <c r="G516" s="3" t="str">
        <f>VLOOKUP(F516, 'KODE PESAWAT'!$A$2:$C$42, 3, FALSE)</f>
        <v>Vietnam Airlines Group</v>
      </c>
      <c r="H516" s="10">
        <v>1418000.0</v>
      </c>
      <c r="I516" s="10">
        <v>1985199.9999999998</v>
      </c>
      <c r="J516" s="10">
        <f t="shared" si="2"/>
        <v>-567200</v>
      </c>
      <c r="K516" s="11">
        <f t="shared" si="3"/>
        <v>-0.4</v>
      </c>
      <c r="L516" s="3" t="str">
        <f t="shared" si="4"/>
        <v>Fare Increase</v>
      </c>
      <c r="M516" s="10">
        <f t="shared" si="5"/>
        <v>567200</v>
      </c>
      <c r="N516" s="3" t="str">
        <f t="shared" si="6"/>
        <v>Issued</v>
      </c>
      <c r="O516" s="3" t="str">
        <f t="shared" si="7"/>
        <v>LOSS</v>
      </c>
      <c r="P516" s="3">
        <f t="shared" si="8"/>
        <v>1</v>
      </c>
      <c r="Q516" s="3">
        <f t="shared" si="9"/>
        <v>0</v>
      </c>
      <c r="R516" s="12">
        <f t="shared" si="10"/>
        <v>0</v>
      </c>
    </row>
    <row r="517">
      <c r="A517" s="3" t="s">
        <v>556</v>
      </c>
      <c r="B517" s="4">
        <v>46270.0</v>
      </c>
      <c r="C517" s="4" t="str">
        <f t="shared" si="1"/>
        <v>September</v>
      </c>
      <c r="D517" s="3" t="s">
        <v>23</v>
      </c>
      <c r="E517" s="3" t="s">
        <v>15</v>
      </c>
      <c r="F517" s="3" t="s">
        <v>31</v>
      </c>
      <c r="G517" s="3" t="str">
        <f>VLOOKUP(F517, 'KODE PESAWAT'!$A$2:$C$42, 3, FALSE)</f>
        <v>Garuda Indonesia Group</v>
      </c>
      <c r="H517" s="10">
        <v>1.2843E7</v>
      </c>
      <c r="I517" s="10">
        <v>1.4769449999999998E7</v>
      </c>
      <c r="J517" s="10">
        <f t="shared" si="2"/>
        <v>-1926450</v>
      </c>
      <c r="K517" s="11">
        <f t="shared" si="3"/>
        <v>-0.15</v>
      </c>
      <c r="L517" s="3" t="str">
        <f t="shared" si="4"/>
        <v>Fare Increase</v>
      </c>
      <c r="M517" s="10">
        <f t="shared" si="5"/>
        <v>1926450</v>
      </c>
      <c r="N517" s="3" t="str">
        <f t="shared" si="6"/>
        <v>Issued</v>
      </c>
      <c r="O517" s="3" t="str">
        <f t="shared" si="7"/>
        <v>LOSS</v>
      </c>
      <c r="P517" s="3">
        <f t="shared" si="8"/>
        <v>1</v>
      </c>
      <c r="Q517" s="3">
        <f t="shared" si="9"/>
        <v>0</v>
      </c>
      <c r="R517" s="12">
        <f t="shared" si="10"/>
        <v>0</v>
      </c>
    </row>
    <row r="518">
      <c r="A518" s="3" t="s">
        <v>557</v>
      </c>
      <c r="B518" s="4">
        <v>46073.0</v>
      </c>
      <c r="C518" s="4" t="str">
        <f t="shared" si="1"/>
        <v>February</v>
      </c>
      <c r="D518" s="3" t="s">
        <v>14</v>
      </c>
      <c r="E518" s="3" t="s">
        <v>15</v>
      </c>
      <c r="F518" s="3" t="s">
        <v>63</v>
      </c>
      <c r="G518" s="3" t="str">
        <f>VLOOKUP(F518, 'KODE PESAWAT'!$A$2:$C$42, 3, FALSE)</f>
        <v>Lion Air Group</v>
      </c>
      <c r="H518" s="10">
        <v>517000.0</v>
      </c>
      <c r="I518" s="10">
        <v>723800.0</v>
      </c>
      <c r="J518" s="10">
        <f t="shared" si="2"/>
        <v>-206800</v>
      </c>
      <c r="K518" s="11">
        <f t="shared" si="3"/>
        <v>-0.4</v>
      </c>
      <c r="L518" s="3" t="str">
        <f t="shared" si="4"/>
        <v>Fare Increase</v>
      </c>
      <c r="M518" s="10">
        <f t="shared" si="5"/>
        <v>206800</v>
      </c>
      <c r="N518" s="3" t="str">
        <f t="shared" si="6"/>
        <v>Issued</v>
      </c>
      <c r="O518" s="3" t="str">
        <f t="shared" si="7"/>
        <v>LOSS</v>
      </c>
      <c r="P518" s="3">
        <f t="shared" si="8"/>
        <v>1</v>
      </c>
      <c r="Q518" s="3">
        <f t="shared" si="9"/>
        <v>0</v>
      </c>
      <c r="R518" s="12">
        <f t="shared" si="10"/>
        <v>0</v>
      </c>
    </row>
    <row r="519">
      <c r="A519" s="3" t="s">
        <v>558</v>
      </c>
      <c r="B519" s="4">
        <v>46209.0</v>
      </c>
      <c r="C519" s="4" t="str">
        <f t="shared" si="1"/>
        <v>July</v>
      </c>
      <c r="D519" s="3" t="s">
        <v>23</v>
      </c>
      <c r="E519" s="3" t="s">
        <v>15</v>
      </c>
      <c r="F519" s="3" t="s">
        <v>33</v>
      </c>
      <c r="G519" s="3" t="str">
        <f>VLOOKUP(F519, 'KODE PESAWAT'!$A$2:$C$42, 3, FALSE)</f>
        <v>Garuda Indonesia Group</v>
      </c>
      <c r="H519" s="10">
        <v>1328000.0</v>
      </c>
      <c r="I519" s="10">
        <v>1527199.9999999998</v>
      </c>
      <c r="J519" s="10">
        <f t="shared" si="2"/>
        <v>-199200</v>
      </c>
      <c r="K519" s="11">
        <f t="shared" si="3"/>
        <v>-0.15</v>
      </c>
      <c r="L519" s="3" t="str">
        <f t="shared" si="4"/>
        <v>Fare Increase</v>
      </c>
      <c r="M519" s="10">
        <f t="shared" si="5"/>
        <v>199200</v>
      </c>
      <c r="N519" s="3" t="str">
        <f t="shared" si="6"/>
        <v>Issued</v>
      </c>
      <c r="O519" s="3" t="str">
        <f t="shared" si="7"/>
        <v>LOSS</v>
      </c>
      <c r="P519" s="3">
        <f t="shared" si="8"/>
        <v>1</v>
      </c>
      <c r="Q519" s="3">
        <f t="shared" si="9"/>
        <v>0</v>
      </c>
      <c r="R519" s="12">
        <f t="shared" si="10"/>
        <v>0</v>
      </c>
    </row>
    <row r="520">
      <c r="A520" s="3" t="s">
        <v>559</v>
      </c>
      <c r="B520" s="4">
        <v>46329.0</v>
      </c>
      <c r="C520" s="4" t="str">
        <f t="shared" si="1"/>
        <v>November</v>
      </c>
      <c r="D520" s="3" t="s">
        <v>25</v>
      </c>
      <c r="E520" s="3" t="s">
        <v>15</v>
      </c>
      <c r="F520" s="3" t="s">
        <v>116</v>
      </c>
      <c r="G520" s="3" t="str">
        <f>VLOOKUP(F520, 'KODE PESAWAT'!$A$2:$C$42, 3, FALSE)</f>
        <v>VietJet Group</v>
      </c>
      <c r="H520" s="10">
        <v>5184000.0</v>
      </c>
      <c r="I520" s="10">
        <v>4924800.0</v>
      </c>
      <c r="J520" s="10">
        <f t="shared" si="2"/>
        <v>259200</v>
      </c>
      <c r="K520" s="11">
        <f t="shared" si="3"/>
        <v>0.05</v>
      </c>
      <c r="L520" s="3" t="str">
        <f t="shared" si="4"/>
        <v>Normal</v>
      </c>
      <c r="M520" s="10">
        <f t="shared" si="5"/>
        <v>-259200</v>
      </c>
      <c r="N520" s="3" t="str">
        <f t="shared" si="6"/>
        <v>Issued</v>
      </c>
      <c r="O520" s="3" t="str">
        <f t="shared" si="7"/>
        <v>PROFIT</v>
      </c>
      <c r="P520" s="3">
        <f t="shared" si="8"/>
        <v>1</v>
      </c>
      <c r="Q520" s="3">
        <f t="shared" si="9"/>
        <v>1</v>
      </c>
      <c r="R520" s="12">
        <f t="shared" si="10"/>
        <v>0</v>
      </c>
    </row>
    <row r="521">
      <c r="A521" s="3" t="s">
        <v>560</v>
      </c>
      <c r="B521" s="4">
        <v>46126.0</v>
      </c>
      <c r="C521" s="4" t="str">
        <f t="shared" si="1"/>
        <v>April</v>
      </c>
      <c r="D521" s="3" t="s">
        <v>10</v>
      </c>
      <c r="E521" s="3" t="s">
        <v>11</v>
      </c>
      <c r="F521" s="3" t="s">
        <v>12</v>
      </c>
      <c r="G521" s="3" t="str">
        <f>VLOOKUP(F521, 'KODE PESAWAT'!$A$2:$C$42, 3, FALSE)</f>
        <v>AirAsia Group</v>
      </c>
      <c r="H521" s="10">
        <v>1559000.0</v>
      </c>
      <c r="I521" s="10">
        <v>1481050.0</v>
      </c>
      <c r="J521" s="10">
        <f t="shared" si="2"/>
        <v>77950</v>
      </c>
      <c r="K521" s="11">
        <f t="shared" si="3"/>
        <v>0.05</v>
      </c>
      <c r="L521" s="3" t="str">
        <f t="shared" si="4"/>
        <v>Normal</v>
      </c>
      <c r="M521" s="10">
        <f t="shared" si="5"/>
        <v>-77950</v>
      </c>
      <c r="N521" s="3" t="str">
        <f t="shared" si="6"/>
        <v>Issued</v>
      </c>
      <c r="O521" s="3" t="str">
        <f t="shared" si="7"/>
        <v>PROFIT</v>
      </c>
      <c r="P521" s="3">
        <f t="shared" si="8"/>
        <v>1</v>
      </c>
      <c r="Q521" s="3">
        <f t="shared" si="9"/>
        <v>1</v>
      </c>
      <c r="R521" s="12">
        <f t="shared" si="10"/>
        <v>0</v>
      </c>
    </row>
    <row r="522">
      <c r="A522" s="3" t="s">
        <v>561</v>
      </c>
      <c r="B522" s="4">
        <v>46237.0</v>
      </c>
      <c r="C522" s="4" t="str">
        <f t="shared" si="1"/>
        <v>August</v>
      </c>
      <c r="D522" s="3" t="s">
        <v>30</v>
      </c>
      <c r="E522" s="3" t="s">
        <v>15</v>
      </c>
      <c r="F522" s="3" t="s">
        <v>100</v>
      </c>
      <c r="G522" s="3" t="str">
        <f>VLOOKUP(F522, 'KODE PESAWAT'!$A$2:$C$42, 3, FALSE)</f>
        <v>JG Summit Holdings</v>
      </c>
      <c r="H522" s="10">
        <v>8499000.0</v>
      </c>
      <c r="I522" s="10">
        <v>8074050.0</v>
      </c>
      <c r="J522" s="10">
        <f t="shared" si="2"/>
        <v>424950</v>
      </c>
      <c r="K522" s="11">
        <f t="shared" si="3"/>
        <v>0.05</v>
      </c>
      <c r="L522" s="3" t="str">
        <f t="shared" si="4"/>
        <v>Normal</v>
      </c>
      <c r="M522" s="10">
        <f t="shared" si="5"/>
        <v>-424950</v>
      </c>
      <c r="N522" s="3" t="str">
        <f t="shared" si="6"/>
        <v>Issued</v>
      </c>
      <c r="O522" s="3" t="str">
        <f t="shared" si="7"/>
        <v>PROFIT</v>
      </c>
      <c r="P522" s="3">
        <f t="shared" si="8"/>
        <v>1</v>
      </c>
      <c r="Q522" s="3">
        <f t="shared" si="9"/>
        <v>1</v>
      </c>
      <c r="R522" s="12">
        <f t="shared" si="10"/>
        <v>0</v>
      </c>
    </row>
    <row r="523">
      <c r="A523" s="3" t="s">
        <v>562</v>
      </c>
      <c r="B523" s="4">
        <v>46293.0</v>
      </c>
      <c r="C523" s="4" t="str">
        <f t="shared" si="1"/>
        <v>September</v>
      </c>
      <c r="D523" s="3" t="s">
        <v>10</v>
      </c>
      <c r="E523" s="3" t="s">
        <v>11</v>
      </c>
      <c r="F523" s="3" t="s">
        <v>63</v>
      </c>
      <c r="G523" s="3" t="str">
        <f>VLOOKUP(F523, 'KODE PESAWAT'!$A$2:$C$42, 3, FALSE)</f>
        <v>Lion Air Group</v>
      </c>
      <c r="H523" s="10">
        <v>516000.0</v>
      </c>
      <c r="I523" s="10">
        <v>722400.0</v>
      </c>
      <c r="J523" s="10">
        <f t="shared" si="2"/>
        <v>-206400</v>
      </c>
      <c r="K523" s="11">
        <f t="shared" si="3"/>
        <v>-0.4</v>
      </c>
      <c r="L523" s="3" t="str">
        <f t="shared" si="4"/>
        <v>Fare Increase</v>
      </c>
      <c r="M523" s="10">
        <f t="shared" si="5"/>
        <v>206400</v>
      </c>
      <c r="N523" s="3" t="str">
        <f t="shared" si="6"/>
        <v>Issued</v>
      </c>
      <c r="O523" s="3" t="str">
        <f t="shared" si="7"/>
        <v>LOSS</v>
      </c>
      <c r="P523" s="3">
        <f t="shared" si="8"/>
        <v>1</v>
      </c>
      <c r="Q523" s="3">
        <f t="shared" si="9"/>
        <v>0</v>
      </c>
      <c r="R523" s="12">
        <f t="shared" si="10"/>
        <v>0</v>
      </c>
    </row>
    <row r="524">
      <c r="A524" s="3" t="s">
        <v>563</v>
      </c>
      <c r="B524" s="4">
        <v>46060.0</v>
      </c>
      <c r="C524" s="4" t="str">
        <f t="shared" si="1"/>
        <v>February</v>
      </c>
      <c r="D524" s="3" t="s">
        <v>25</v>
      </c>
      <c r="E524" s="3" t="s">
        <v>15</v>
      </c>
      <c r="F524" s="3" t="s">
        <v>42</v>
      </c>
      <c r="G524" s="3" t="str">
        <f>VLOOKUP(F524, 'KODE PESAWAT'!$A$2:$C$42, 3, FALSE)</f>
        <v>Vietnam Airlines Group</v>
      </c>
      <c r="H524" s="10">
        <v>708000.0</v>
      </c>
      <c r="I524" s="10">
        <v>814199.9999999999</v>
      </c>
      <c r="J524" s="10">
        <f t="shared" si="2"/>
        <v>-106200</v>
      </c>
      <c r="K524" s="11">
        <f t="shared" si="3"/>
        <v>-0.15</v>
      </c>
      <c r="L524" s="3" t="str">
        <f t="shared" si="4"/>
        <v>Fare Increase</v>
      </c>
      <c r="M524" s="10">
        <f t="shared" si="5"/>
        <v>106200</v>
      </c>
      <c r="N524" s="3" t="str">
        <f t="shared" si="6"/>
        <v>Issued</v>
      </c>
      <c r="O524" s="3" t="str">
        <f t="shared" si="7"/>
        <v>LOSS</v>
      </c>
      <c r="P524" s="3">
        <f t="shared" si="8"/>
        <v>1</v>
      </c>
      <c r="Q524" s="3">
        <f t="shared" si="9"/>
        <v>0</v>
      </c>
      <c r="R524" s="12">
        <f t="shared" si="10"/>
        <v>0</v>
      </c>
    </row>
    <row r="525">
      <c r="A525" s="3" t="s">
        <v>564</v>
      </c>
      <c r="B525" s="4">
        <v>46084.0</v>
      </c>
      <c r="C525" s="4" t="str">
        <f t="shared" si="1"/>
        <v>March</v>
      </c>
      <c r="D525" s="3" t="s">
        <v>30</v>
      </c>
      <c r="E525" s="3" t="s">
        <v>15</v>
      </c>
      <c r="F525" s="3" t="s">
        <v>37</v>
      </c>
      <c r="G525" s="3" t="str">
        <f>VLOOKUP(F525, 'KODE PESAWAT'!$A$2:$C$42, 3, FALSE)</f>
        <v>Lion Air Group</v>
      </c>
      <c r="H525" s="10">
        <v>730000.0</v>
      </c>
      <c r="I525" s="10">
        <v>839499.9999999999</v>
      </c>
      <c r="J525" s="10">
        <f t="shared" si="2"/>
        <v>-109500</v>
      </c>
      <c r="K525" s="11">
        <f t="shared" si="3"/>
        <v>-0.15</v>
      </c>
      <c r="L525" s="3" t="str">
        <f t="shared" si="4"/>
        <v>Fare Increase</v>
      </c>
      <c r="M525" s="10">
        <f t="shared" si="5"/>
        <v>109500</v>
      </c>
      <c r="N525" s="3" t="str">
        <f t="shared" si="6"/>
        <v>Issued</v>
      </c>
      <c r="O525" s="3" t="str">
        <f t="shared" si="7"/>
        <v>LOSS</v>
      </c>
      <c r="P525" s="3">
        <f t="shared" si="8"/>
        <v>1</v>
      </c>
      <c r="Q525" s="3">
        <f t="shared" si="9"/>
        <v>0</v>
      </c>
      <c r="R525" s="12">
        <f t="shared" si="10"/>
        <v>0</v>
      </c>
    </row>
    <row r="526">
      <c r="A526" s="3" t="s">
        <v>565</v>
      </c>
      <c r="B526" s="4">
        <v>46166.0</v>
      </c>
      <c r="C526" s="4" t="str">
        <f t="shared" si="1"/>
        <v>May</v>
      </c>
      <c r="D526" s="3" t="s">
        <v>25</v>
      </c>
      <c r="E526" s="3" t="s">
        <v>15</v>
      </c>
      <c r="F526" s="3" t="s">
        <v>26</v>
      </c>
      <c r="G526" s="3" t="str">
        <f>VLOOKUP(F526, 'KODE PESAWAT'!$A$2:$C$42, 3, FALSE)</f>
        <v>VietJet Group</v>
      </c>
      <c r="H526" s="10">
        <v>5162000.0</v>
      </c>
      <c r="I526" s="10">
        <v>5936300.0</v>
      </c>
      <c r="J526" s="10">
        <f t="shared" si="2"/>
        <v>-774300</v>
      </c>
      <c r="K526" s="11">
        <f t="shared" si="3"/>
        <v>-0.15</v>
      </c>
      <c r="L526" s="3" t="str">
        <f t="shared" si="4"/>
        <v>Fare Increase</v>
      </c>
      <c r="M526" s="10">
        <f t="shared" si="5"/>
        <v>774300</v>
      </c>
      <c r="N526" s="3" t="str">
        <f t="shared" si="6"/>
        <v>Issued</v>
      </c>
      <c r="O526" s="3" t="str">
        <f t="shared" si="7"/>
        <v>LOSS</v>
      </c>
      <c r="P526" s="3">
        <f t="shared" si="8"/>
        <v>1</v>
      </c>
      <c r="Q526" s="3">
        <f t="shared" si="9"/>
        <v>0</v>
      </c>
      <c r="R526" s="12">
        <f t="shared" si="10"/>
        <v>0</v>
      </c>
    </row>
    <row r="527">
      <c r="A527" s="3" t="s">
        <v>566</v>
      </c>
      <c r="B527" s="4">
        <v>46219.0</v>
      </c>
      <c r="C527" s="4" t="str">
        <f t="shared" si="1"/>
        <v>July</v>
      </c>
      <c r="D527" s="3" t="s">
        <v>25</v>
      </c>
      <c r="E527" s="3" t="s">
        <v>15</v>
      </c>
      <c r="F527" s="3" t="s">
        <v>42</v>
      </c>
      <c r="G527" s="3" t="str">
        <f>VLOOKUP(F527, 'KODE PESAWAT'!$A$2:$C$42, 3, FALSE)</f>
        <v>Vietnam Airlines Group</v>
      </c>
      <c r="H527" s="10">
        <v>2144000.0</v>
      </c>
      <c r="I527" s="10">
        <v>5360000.0</v>
      </c>
      <c r="J527" s="10">
        <f t="shared" si="2"/>
        <v>-3216000</v>
      </c>
      <c r="K527" s="11">
        <f t="shared" si="3"/>
        <v>-1.5</v>
      </c>
      <c r="L527" s="3" t="str">
        <f t="shared" si="4"/>
        <v>Over Buffer</v>
      </c>
      <c r="M527" s="10">
        <f t="shared" si="5"/>
        <v>-2144000</v>
      </c>
      <c r="N527" s="3" t="str">
        <f t="shared" si="6"/>
        <v>Refund</v>
      </c>
      <c r="O527" s="3" t="str">
        <f t="shared" si="7"/>
        <v>N/A</v>
      </c>
      <c r="P527" s="3">
        <f t="shared" si="8"/>
        <v>0</v>
      </c>
      <c r="Q527" s="3">
        <f t="shared" si="9"/>
        <v>0</v>
      </c>
      <c r="R527" s="12">
        <f t="shared" si="10"/>
        <v>1</v>
      </c>
    </row>
    <row r="528">
      <c r="A528" s="3" t="s">
        <v>567</v>
      </c>
      <c r="B528" s="4">
        <v>46068.0</v>
      </c>
      <c r="C528" s="4" t="str">
        <f t="shared" si="1"/>
        <v>February</v>
      </c>
      <c r="D528" s="3" t="s">
        <v>18</v>
      </c>
      <c r="E528" s="3" t="s">
        <v>11</v>
      </c>
      <c r="F528" s="3" t="s">
        <v>19</v>
      </c>
      <c r="G528" s="3" t="str">
        <f>VLOOKUP(F528, 'KODE PESAWAT'!$A$2:$C$42, 3, FALSE)</f>
        <v>Lion Air Group</v>
      </c>
      <c r="H528" s="10">
        <v>1.4738E7</v>
      </c>
      <c r="I528" s="10">
        <v>3.6845E7</v>
      </c>
      <c r="J528" s="10">
        <f t="shared" si="2"/>
        <v>-22107000</v>
      </c>
      <c r="K528" s="11">
        <f t="shared" si="3"/>
        <v>-1.5</v>
      </c>
      <c r="L528" s="3" t="str">
        <f t="shared" si="4"/>
        <v>Over Buffer</v>
      </c>
      <c r="M528" s="10">
        <f t="shared" si="5"/>
        <v>-14738000</v>
      </c>
      <c r="N528" s="3" t="str">
        <f t="shared" si="6"/>
        <v>Refund</v>
      </c>
      <c r="O528" s="3" t="str">
        <f t="shared" si="7"/>
        <v>N/A</v>
      </c>
      <c r="P528" s="3">
        <f t="shared" si="8"/>
        <v>0</v>
      </c>
      <c r="Q528" s="3">
        <f t="shared" si="9"/>
        <v>0</v>
      </c>
      <c r="R528" s="12">
        <f t="shared" si="10"/>
        <v>1</v>
      </c>
    </row>
    <row r="529">
      <c r="A529" s="3" t="s">
        <v>568</v>
      </c>
      <c r="B529" s="4">
        <v>46332.0</v>
      </c>
      <c r="C529" s="4" t="str">
        <f t="shared" si="1"/>
        <v>November</v>
      </c>
      <c r="D529" s="3" t="s">
        <v>14</v>
      </c>
      <c r="E529" s="3" t="s">
        <v>15</v>
      </c>
      <c r="F529" s="3" t="s">
        <v>63</v>
      </c>
      <c r="G529" s="3" t="str">
        <f>VLOOKUP(F529, 'KODE PESAWAT'!$A$2:$C$42, 3, FALSE)</f>
        <v>Lion Air Group</v>
      </c>
      <c r="H529" s="10">
        <v>1.4657E7</v>
      </c>
      <c r="I529" s="10">
        <v>1.685555E7</v>
      </c>
      <c r="J529" s="10">
        <f t="shared" si="2"/>
        <v>-2198550</v>
      </c>
      <c r="K529" s="11">
        <f t="shared" si="3"/>
        <v>-0.15</v>
      </c>
      <c r="L529" s="3" t="str">
        <f t="shared" si="4"/>
        <v>Fare Increase</v>
      </c>
      <c r="M529" s="10">
        <f t="shared" si="5"/>
        <v>2198550</v>
      </c>
      <c r="N529" s="3" t="str">
        <f t="shared" si="6"/>
        <v>Issued</v>
      </c>
      <c r="O529" s="3" t="str">
        <f t="shared" si="7"/>
        <v>LOSS</v>
      </c>
      <c r="P529" s="3">
        <f t="shared" si="8"/>
        <v>1</v>
      </c>
      <c r="Q529" s="3">
        <f t="shared" si="9"/>
        <v>0</v>
      </c>
      <c r="R529" s="12">
        <f t="shared" si="10"/>
        <v>0</v>
      </c>
    </row>
    <row r="530">
      <c r="A530" s="3" t="s">
        <v>569</v>
      </c>
      <c r="B530" s="4">
        <v>46304.0</v>
      </c>
      <c r="C530" s="4" t="str">
        <f t="shared" si="1"/>
        <v>October</v>
      </c>
      <c r="D530" s="3" t="s">
        <v>18</v>
      </c>
      <c r="E530" s="3" t="s">
        <v>11</v>
      </c>
      <c r="F530" s="3" t="s">
        <v>12</v>
      </c>
      <c r="G530" s="3" t="str">
        <f>VLOOKUP(F530, 'KODE PESAWAT'!$A$2:$C$42, 3, FALSE)</f>
        <v>AirAsia Group</v>
      </c>
      <c r="H530" s="10">
        <v>1.3087E7</v>
      </c>
      <c r="I530" s="10">
        <v>1.83218E7</v>
      </c>
      <c r="J530" s="10">
        <f t="shared" si="2"/>
        <v>-5234800</v>
      </c>
      <c r="K530" s="11">
        <f t="shared" si="3"/>
        <v>-0.4</v>
      </c>
      <c r="L530" s="3" t="str">
        <f t="shared" si="4"/>
        <v>Fare Increase</v>
      </c>
      <c r="M530" s="10">
        <f t="shared" si="5"/>
        <v>5234800</v>
      </c>
      <c r="N530" s="3" t="str">
        <f t="shared" si="6"/>
        <v>Issued</v>
      </c>
      <c r="O530" s="3" t="str">
        <f t="shared" si="7"/>
        <v>LOSS</v>
      </c>
      <c r="P530" s="3">
        <f t="shared" si="8"/>
        <v>1</v>
      </c>
      <c r="Q530" s="3">
        <f t="shared" si="9"/>
        <v>0</v>
      </c>
      <c r="R530" s="12">
        <f t="shared" si="10"/>
        <v>0</v>
      </c>
    </row>
    <row r="531">
      <c r="A531" s="3" t="s">
        <v>570</v>
      </c>
      <c r="B531" s="4">
        <v>46113.0</v>
      </c>
      <c r="C531" s="4" t="str">
        <f t="shared" si="1"/>
        <v>April</v>
      </c>
      <c r="D531" s="3" t="s">
        <v>10</v>
      </c>
      <c r="E531" s="3" t="s">
        <v>11</v>
      </c>
      <c r="F531" s="3" t="s">
        <v>21</v>
      </c>
      <c r="G531" s="3" t="str">
        <f>VLOOKUP(F531, 'KODE PESAWAT'!$A$2:$C$42, 3, FALSE)</f>
        <v>Singapore Airlines Group</v>
      </c>
      <c r="H531" s="10">
        <v>3845000.0</v>
      </c>
      <c r="I531" s="10">
        <v>5383000.0</v>
      </c>
      <c r="J531" s="10">
        <f t="shared" si="2"/>
        <v>-1538000</v>
      </c>
      <c r="K531" s="11">
        <f t="shared" si="3"/>
        <v>-0.4</v>
      </c>
      <c r="L531" s="3" t="str">
        <f t="shared" si="4"/>
        <v>Fare Increase</v>
      </c>
      <c r="M531" s="10">
        <f t="shared" si="5"/>
        <v>1538000</v>
      </c>
      <c r="N531" s="3" t="str">
        <f t="shared" si="6"/>
        <v>Issued</v>
      </c>
      <c r="O531" s="3" t="str">
        <f t="shared" si="7"/>
        <v>LOSS</v>
      </c>
      <c r="P531" s="3">
        <f t="shared" si="8"/>
        <v>1</v>
      </c>
      <c r="Q531" s="3">
        <f t="shared" si="9"/>
        <v>0</v>
      </c>
      <c r="R531" s="12">
        <f t="shared" si="10"/>
        <v>0</v>
      </c>
    </row>
    <row r="532">
      <c r="A532" s="3" t="s">
        <v>571</v>
      </c>
      <c r="B532" s="4">
        <v>46080.0</v>
      </c>
      <c r="C532" s="4" t="str">
        <f t="shared" si="1"/>
        <v>February</v>
      </c>
      <c r="D532" s="3" t="s">
        <v>14</v>
      </c>
      <c r="E532" s="3" t="s">
        <v>15</v>
      </c>
      <c r="F532" s="3" t="s">
        <v>16</v>
      </c>
      <c r="G532" s="3" t="str">
        <f>VLOOKUP(F532, 'KODE PESAWAT'!$A$2:$C$42, 3, FALSE)</f>
        <v>Thai Airways Group (Associate)</v>
      </c>
      <c r="H532" s="10">
        <v>9985000.0</v>
      </c>
      <c r="I532" s="10">
        <v>2.49625E7</v>
      </c>
      <c r="J532" s="10">
        <f t="shared" si="2"/>
        <v>-14977500</v>
      </c>
      <c r="K532" s="11">
        <f t="shared" si="3"/>
        <v>-1.5</v>
      </c>
      <c r="L532" s="3" t="str">
        <f t="shared" si="4"/>
        <v>Over Buffer</v>
      </c>
      <c r="M532" s="10">
        <f t="shared" si="5"/>
        <v>-9985000</v>
      </c>
      <c r="N532" s="3" t="str">
        <f t="shared" si="6"/>
        <v>Refund</v>
      </c>
      <c r="O532" s="3" t="str">
        <f t="shared" si="7"/>
        <v>N/A</v>
      </c>
      <c r="P532" s="3">
        <f t="shared" si="8"/>
        <v>0</v>
      </c>
      <c r="Q532" s="3">
        <f t="shared" si="9"/>
        <v>0</v>
      </c>
      <c r="R532" s="12">
        <f t="shared" si="10"/>
        <v>1</v>
      </c>
    </row>
    <row r="533">
      <c r="A533" s="3" t="s">
        <v>572</v>
      </c>
      <c r="B533" s="4">
        <v>46131.0</v>
      </c>
      <c r="C533" s="4" t="str">
        <f t="shared" si="1"/>
        <v>April</v>
      </c>
      <c r="D533" s="3" t="s">
        <v>14</v>
      </c>
      <c r="E533" s="3" t="s">
        <v>15</v>
      </c>
      <c r="F533" s="3" t="s">
        <v>16</v>
      </c>
      <c r="G533" s="3" t="str">
        <f>VLOOKUP(F533, 'KODE PESAWAT'!$A$2:$C$42, 3, FALSE)</f>
        <v>Thai Airways Group (Associate)</v>
      </c>
      <c r="H533" s="10">
        <v>6814000.0</v>
      </c>
      <c r="I533" s="10">
        <v>1.7035E7</v>
      </c>
      <c r="J533" s="10">
        <f t="shared" si="2"/>
        <v>-10221000</v>
      </c>
      <c r="K533" s="11">
        <f t="shared" si="3"/>
        <v>-1.5</v>
      </c>
      <c r="L533" s="3" t="str">
        <f t="shared" si="4"/>
        <v>Over Buffer</v>
      </c>
      <c r="M533" s="10">
        <f t="shared" si="5"/>
        <v>-6814000</v>
      </c>
      <c r="N533" s="3" t="str">
        <f t="shared" si="6"/>
        <v>Refund</v>
      </c>
      <c r="O533" s="3" t="str">
        <f t="shared" si="7"/>
        <v>N/A</v>
      </c>
      <c r="P533" s="3">
        <f t="shared" si="8"/>
        <v>0</v>
      </c>
      <c r="Q533" s="3">
        <f t="shared" si="9"/>
        <v>0</v>
      </c>
      <c r="R533" s="12">
        <f t="shared" si="10"/>
        <v>1</v>
      </c>
    </row>
    <row r="534">
      <c r="A534" s="3" t="s">
        <v>573</v>
      </c>
      <c r="B534" s="4">
        <v>46075.0</v>
      </c>
      <c r="C534" s="4" t="str">
        <f t="shared" si="1"/>
        <v>February</v>
      </c>
      <c r="D534" s="3" t="s">
        <v>18</v>
      </c>
      <c r="E534" s="3" t="s">
        <v>11</v>
      </c>
      <c r="F534" s="3" t="s">
        <v>63</v>
      </c>
      <c r="G534" s="3" t="str">
        <f>VLOOKUP(F534, 'KODE PESAWAT'!$A$2:$C$42, 3, FALSE)</f>
        <v>Lion Air Group</v>
      </c>
      <c r="H534" s="10">
        <v>9615000.0</v>
      </c>
      <c r="I534" s="10">
        <v>1.3461E7</v>
      </c>
      <c r="J534" s="10">
        <f t="shared" si="2"/>
        <v>-3846000</v>
      </c>
      <c r="K534" s="11">
        <f t="shared" si="3"/>
        <v>-0.4</v>
      </c>
      <c r="L534" s="3" t="str">
        <f t="shared" si="4"/>
        <v>Fare Increase</v>
      </c>
      <c r="M534" s="10">
        <f t="shared" si="5"/>
        <v>3846000</v>
      </c>
      <c r="N534" s="3" t="str">
        <f t="shared" si="6"/>
        <v>Issued</v>
      </c>
      <c r="O534" s="3" t="str">
        <f t="shared" si="7"/>
        <v>LOSS</v>
      </c>
      <c r="P534" s="3">
        <f t="shared" si="8"/>
        <v>1</v>
      </c>
      <c r="Q534" s="3">
        <f t="shared" si="9"/>
        <v>0</v>
      </c>
      <c r="R534" s="12">
        <f t="shared" si="10"/>
        <v>0</v>
      </c>
    </row>
    <row r="535">
      <c r="A535" s="3" t="s">
        <v>574</v>
      </c>
      <c r="B535" s="4">
        <v>46189.0</v>
      </c>
      <c r="C535" s="4" t="str">
        <f t="shared" si="1"/>
        <v>June</v>
      </c>
      <c r="D535" s="3" t="s">
        <v>30</v>
      </c>
      <c r="E535" s="3" t="s">
        <v>15</v>
      </c>
      <c r="F535" s="3" t="s">
        <v>37</v>
      </c>
      <c r="G535" s="3" t="str">
        <f>VLOOKUP(F535, 'KODE PESAWAT'!$A$2:$C$42, 3, FALSE)</f>
        <v>Lion Air Group</v>
      </c>
      <c r="H535" s="10">
        <v>1.0192E7</v>
      </c>
      <c r="I535" s="10">
        <v>1.17208E7</v>
      </c>
      <c r="J535" s="10">
        <f t="shared" si="2"/>
        <v>-1528800</v>
      </c>
      <c r="K535" s="11">
        <f t="shared" si="3"/>
        <v>-0.15</v>
      </c>
      <c r="L535" s="3" t="str">
        <f t="shared" si="4"/>
        <v>Fare Increase</v>
      </c>
      <c r="M535" s="10">
        <f t="shared" si="5"/>
        <v>1528800</v>
      </c>
      <c r="N535" s="3" t="str">
        <f t="shared" si="6"/>
        <v>Issued</v>
      </c>
      <c r="O535" s="3" t="str">
        <f t="shared" si="7"/>
        <v>LOSS</v>
      </c>
      <c r="P535" s="3">
        <f t="shared" si="8"/>
        <v>1</v>
      </c>
      <c r="Q535" s="3">
        <f t="shared" si="9"/>
        <v>0</v>
      </c>
      <c r="R535" s="12">
        <f t="shared" si="10"/>
        <v>0</v>
      </c>
    </row>
    <row r="536">
      <c r="A536" s="3" t="s">
        <v>575</v>
      </c>
      <c r="B536" s="4">
        <v>46063.0</v>
      </c>
      <c r="C536" s="4" t="str">
        <f t="shared" si="1"/>
        <v>February</v>
      </c>
      <c r="D536" s="3" t="s">
        <v>14</v>
      </c>
      <c r="E536" s="3" t="s">
        <v>15</v>
      </c>
      <c r="F536" s="3" t="s">
        <v>37</v>
      </c>
      <c r="G536" s="3" t="str">
        <f>VLOOKUP(F536, 'KODE PESAWAT'!$A$2:$C$42, 3, FALSE)</f>
        <v>Lion Air Group</v>
      </c>
      <c r="H536" s="10">
        <v>5603000.0</v>
      </c>
      <c r="I536" s="10">
        <v>1.40075E7</v>
      </c>
      <c r="J536" s="10">
        <f t="shared" si="2"/>
        <v>-8404500</v>
      </c>
      <c r="K536" s="11">
        <f t="shared" si="3"/>
        <v>-1.5</v>
      </c>
      <c r="L536" s="3" t="str">
        <f t="shared" si="4"/>
        <v>Over Buffer</v>
      </c>
      <c r="M536" s="10">
        <f t="shared" si="5"/>
        <v>-5603000</v>
      </c>
      <c r="N536" s="3" t="str">
        <f t="shared" si="6"/>
        <v>Refund</v>
      </c>
      <c r="O536" s="3" t="str">
        <f t="shared" si="7"/>
        <v>N/A</v>
      </c>
      <c r="P536" s="3">
        <f t="shared" si="8"/>
        <v>0</v>
      </c>
      <c r="Q536" s="3">
        <f t="shared" si="9"/>
        <v>0</v>
      </c>
      <c r="R536" s="12">
        <f t="shared" si="10"/>
        <v>1</v>
      </c>
    </row>
    <row r="537">
      <c r="A537" s="3" t="s">
        <v>576</v>
      </c>
      <c r="B537" s="4">
        <v>46174.0</v>
      </c>
      <c r="C537" s="4" t="str">
        <f t="shared" si="1"/>
        <v>June</v>
      </c>
      <c r="D537" s="3" t="s">
        <v>25</v>
      </c>
      <c r="E537" s="3" t="s">
        <v>15</v>
      </c>
      <c r="F537" s="3" t="s">
        <v>61</v>
      </c>
      <c r="G537" s="3" t="str">
        <f>VLOOKUP(F537, 'KODE PESAWAT'!$A$2:$C$42, 3, FALSE)</f>
        <v>Vietravel Group</v>
      </c>
      <c r="H537" s="10">
        <v>3218000.0</v>
      </c>
      <c r="I537" s="10">
        <v>3700699.9999999995</v>
      </c>
      <c r="J537" s="10">
        <f t="shared" si="2"/>
        <v>-482700</v>
      </c>
      <c r="K537" s="11">
        <f t="shared" si="3"/>
        <v>-0.15</v>
      </c>
      <c r="L537" s="3" t="str">
        <f t="shared" si="4"/>
        <v>Fare Increase</v>
      </c>
      <c r="M537" s="10">
        <f t="shared" si="5"/>
        <v>482700</v>
      </c>
      <c r="N537" s="3" t="str">
        <f t="shared" si="6"/>
        <v>Issued</v>
      </c>
      <c r="O537" s="3" t="str">
        <f t="shared" si="7"/>
        <v>LOSS</v>
      </c>
      <c r="P537" s="3">
        <f t="shared" si="8"/>
        <v>1</v>
      </c>
      <c r="Q537" s="3">
        <f t="shared" si="9"/>
        <v>0</v>
      </c>
      <c r="R537" s="12">
        <f t="shared" si="10"/>
        <v>0</v>
      </c>
    </row>
    <row r="538">
      <c r="A538" s="3" t="s">
        <v>577</v>
      </c>
      <c r="B538" s="4">
        <v>46148.0</v>
      </c>
      <c r="C538" s="4" t="str">
        <f t="shared" si="1"/>
        <v>May</v>
      </c>
      <c r="D538" s="3" t="s">
        <v>14</v>
      </c>
      <c r="E538" s="3" t="s">
        <v>15</v>
      </c>
      <c r="F538" s="3" t="s">
        <v>37</v>
      </c>
      <c r="G538" s="3" t="str">
        <f>VLOOKUP(F538, 'KODE PESAWAT'!$A$2:$C$42, 3, FALSE)</f>
        <v>Lion Air Group</v>
      </c>
      <c r="H538" s="10">
        <v>1.0628E7</v>
      </c>
      <c r="I538" s="10">
        <v>1.00966E7</v>
      </c>
      <c r="J538" s="10">
        <f t="shared" si="2"/>
        <v>531400</v>
      </c>
      <c r="K538" s="11">
        <f t="shared" si="3"/>
        <v>0.05</v>
      </c>
      <c r="L538" s="3" t="str">
        <f t="shared" si="4"/>
        <v>Normal</v>
      </c>
      <c r="M538" s="10">
        <f t="shared" si="5"/>
        <v>-531400</v>
      </c>
      <c r="N538" s="3" t="str">
        <f t="shared" si="6"/>
        <v>Issued</v>
      </c>
      <c r="O538" s="3" t="str">
        <f t="shared" si="7"/>
        <v>PROFIT</v>
      </c>
      <c r="P538" s="3">
        <f t="shared" si="8"/>
        <v>1</v>
      </c>
      <c r="Q538" s="3">
        <f t="shared" si="9"/>
        <v>1</v>
      </c>
      <c r="R538" s="12">
        <f t="shared" si="10"/>
        <v>0</v>
      </c>
    </row>
    <row r="539">
      <c r="A539" s="3" t="s">
        <v>578</v>
      </c>
      <c r="B539" s="4">
        <v>46350.0</v>
      </c>
      <c r="C539" s="4" t="str">
        <f t="shared" si="1"/>
        <v>November</v>
      </c>
      <c r="D539" s="3" t="s">
        <v>30</v>
      </c>
      <c r="E539" s="3" t="s">
        <v>15</v>
      </c>
      <c r="F539" s="3" t="s">
        <v>579</v>
      </c>
      <c r="G539" s="3" t="str">
        <f>VLOOKUP(F539, 'KODE PESAWAT'!$A$2:$C$42, 3, FALSE)</f>
        <v>AirAsia Group</v>
      </c>
      <c r="H539" s="10">
        <v>1.0008E7</v>
      </c>
      <c r="I539" s="10">
        <v>9507600.0</v>
      </c>
      <c r="J539" s="10">
        <f t="shared" si="2"/>
        <v>500400</v>
      </c>
      <c r="K539" s="11">
        <f t="shared" si="3"/>
        <v>0.05</v>
      </c>
      <c r="L539" s="3" t="str">
        <f t="shared" si="4"/>
        <v>Normal</v>
      </c>
      <c r="M539" s="10">
        <f t="shared" si="5"/>
        <v>-500400</v>
      </c>
      <c r="N539" s="3" t="str">
        <f t="shared" si="6"/>
        <v>Issued</v>
      </c>
      <c r="O539" s="3" t="str">
        <f t="shared" si="7"/>
        <v>PROFIT</v>
      </c>
      <c r="P539" s="3">
        <f t="shared" si="8"/>
        <v>1</v>
      </c>
      <c r="Q539" s="3">
        <f t="shared" si="9"/>
        <v>1</v>
      </c>
      <c r="R539" s="12">
        <f t="shared" si="10"/>
        <v>0</v>
      </c>
    </row>
    <row r="540">
      <c r="A540" s="3" t="s">
        <v>580</v>
      </c>
      <c r="B540" s="4">
        <v>46036.0</v>
      </c>
      <c r="C540" s="4" t="str">
        <f t="shared" si="1"/>
        <v>January</v>
      </c>
      <c r="D540" s="3" t="s">
        <v>25</v>
      </c>
      <c r="E540" s="3" t="s">
        <v>15</v>
      </c>
      <c r="F540" s="3" t="s">
        <v>26</v>
      </c>
      <c r="G540" s="3" t="str">
        <f>VLOOKUP(F540, 'KODE PESAWAT'!$A$2:$C$42, 3, FALSE)</f>
        <v>VietJet Group</v>
      </c>
      <c r="H540" s="10">
        <v>4392000.0</v>
      </c>
      <c r="I540" s="10">
        <v>1.098E7</v>
      </c>
      <c r="J540" s="10">
        <f t="shared" si="2"/>
        <v>-6588000</v>
      </c>
      <c r="K540" s="11">
        <f t="shared" si="3"/>
        <v>-1.5</v>
      </c>
      <c r="L540" s="3" t="str">
        <f t="shared" si="4"/>
        <v>Over Buffer</v>
      </c>
      <c r="M540" s="10">
        <f t="shared" si="5"/>
        <v>-4392000</v>
      </c>
      <c r="N540" s="3" t="str">
        <f t="shared" si="6"/>
        <v>Refund</v>
      </c>
      <c r="O540" s="3" t="str">
        <f t="shared" si="7"/>
        <v>N/A</v>
      </c>
      <c r="P540" s="3">
        <f t="shared" si="8"/>
        <v>0</v>
      </c>
      <c r="Q540" s="3">
        <f t="shared" si="9"/>
        <v>0</v>
      </c>
      <c r="R540" s="12">
        <f t="shared" si="10"/>
        <v>1</v>
      </c>
    </row>
    <row r="541">
      <c r="A541" s="3" t="s">
        <v>581</v>
      </c>
      <c r="B541" s="4">
        <v>46181.0</v>
      </c>
      <c r="C541" s="4" t="str">
        <f t="shared" si="1"/>
        <v>June</v>
      </c>
      <c r="D541" s="3" t="s">
        <v>23</v>
      </c>
      <c r="E541" s="3" t="s">
        <v>15</v>
      </c>
      <c r="F541" s="3" t="s">
        <v>31</v>
      </c>
      <c r="G541" s="3" t="str">
        <f>VLOOKUP(F541, 'KODE PESAWAT'!$A$2:$C$42, 3, FALSE)</f>
        <v>Garuda Indonesia Group</v>
      </c>
      <c r="H541" s="10">
        <v>1.4193E7</v>
      </c>
      <c r="I541" s="10">
        <v>1.6321949999999998E7</v>
      </c>
      <c r="J541" s="10">
        <f t="shared" si="2"/>
        <v>-2128950</v>
      </c>
      <c r="K541" s="11">
        <f t="shared" si="3"/>
        <v>-0.15</v>
      </c>
      <c r="L541" s="3" t="str">
        <f t="shared" si="4"/>
        <v>Fare Increase</v>
      </c>
      <c r="M541" s="10">
        <f t="shared" si="5"/>
        <v>2128950</v>
      </c>
      <c r="N541" s="3" t="str">
        <f t="shared" si="6"/>
        <v>Issued</v>
      </c>
      <c r="O541" s="3" t="str">
        <f t="shared" si="7"/>
        <v>LOSS</v>
      </c>
      <c r="P541" s="3">
        <f t="shared" si="8"/>
        <v>1</v>
      </c>
      <c r="Q541" s="3">
        <f t="shared" si="9"/>
        <v>0</v>
      </c>
      <c r="R541" s="12">
        <f t="shared" si="10"/>
        <v>0</v>
      </c>
    </row>
    <row r="542">
      <c r="A542" s="3" t="s">
        <v>582</v>
      </c>
      <c r="B542" s="4">
        <v>46241.0</v>
      </c>
      <c r="C542" s="4" t="str">
        <f t="shared" si="1"/>
        <v>August</v>
      </c>
      <c r="D542" s="3" t="s">
        <v>30</v>
      </c>
      <c r="E542" s="3" t="s">
        <v>15</v>
      </c>
      <c r="F542" s="3" t="s">
        <v>12</v>
      </c>
      <c r="G542" s="3" t="str">
        <f>VLOOKUP(F542, 'KODE PESAWAT'!$A$2:$C$42, 3, FALSE)</f>
        <v>AirAsia Group</v>
      </c>
      <c r="H542" s="10">
        <v>1.0604E7</v>
      </c>
      <c r="I542" s="10">
        <v>1.2194599999999998E7</v>
      </c>
      <c r="J542" s="10">
        <f t="shared" si="2"/>
        <v>-1590600</v>
      </c>
      <c r="K542" s="11">
        <f t="shared" si="3"/>
        <v>-0.15</v>
      </c>
      <c r="L542" s="3" t="str">
        <f t="shared" si="4"/>
        <v>Fare Increase</v>
      </c>
      <c r="M542" s="10">
        <f t="shared" si="5"/>
        <v>1590600</v>
      </c>
      <c r="N542" s="3" t="str">
        <f t="shared" si="6"/>
        <v>Issued</v>
      </c>
      <c r="O542" s="3" t="str">
        <f t="shared" si="7"/>
        <v>LOSS</v>
      </c>
      <c r="P542" s="3">
        <f t="shared" si="8"/>
        <v>1</v>
      </c>
      <c r="Q542" s="3">
        <f t="shared" si="9"/>
        <v>0</v>
      </c>
      <c r="R542" s="12">
        <f t="shared" si="10"/>
        <v>0</v>
      </c>
    </row>
    <row r="543">
      <c r="A543" s="3" t="s">
        <v>583</v>
      </c>
      <c r="B543" s="4">
        <v>46238.0</v>
      </c>
      <c r="C543" s="4" t="str">
        <f t="shared" si="1"/>
        <v>August</v>
      </c>
      <c r="D543" s="3" t="s">
        <v>10</v>
      </c>
      <c r="E543" s="3" t="s">
        <v>11</v>
      </c>
      <c r="F543" s="3" t="s">
        <v>63</v>
      </c>
      <c r="G543" s="3" t="str">
        <f>VLOOKUP(F543, 'KODE PESAWAT'!$A$2:$C$42, 3, FALSE)</f>
        <v>Lion Air Group</v>
      </c>
      <c r="H543" s="10">
        <v>5624000.0</v>
      </c>
      <c r="I543" s="10">
        <v>6467599.999999999</v>
      </c>
      <c r="J543" s="10">
        <f t="shared" si="2"/>
        <v>-843600</v>
      </c>
      <c r="K543" s="11">
        <f t="shared" si="3"/>
        <v>-0.15</v>
      </c>
      <c r="L543" s="3" t="str">
        <f t="shared" si="4"/>
        <v>Fare Increase</v>
      </c>
      <c r="M543" s="10">
        <f t="shared" si="5"/>
        <v>843600</v>
      </c>
      <c r="N543" s="3" t="str">
        <f t="shared" si="6"/>
        <v>Issued</v>
      </c>
      <c r="O543" s="3" t="str">
        <f t="shared" si="7"/>
        <v>LOSS</v>
      </c>
      <c r="P543" s="3">
        <f t="shared" si="8"/>
        <v>1</v>
      </c>
      <c r="Q543" s="3">
        <f t="shared" si="9"/>
        <v>0</v>
      </c>
      <c r="R543" s="12">
        <f t="shared" si="10"/>
        <v>0</v>
      </c>
    </row>
    <row r="544">
      <c r="A544" s="3" t="s">
        <v>584</v>
      </c>
      <c r="B544" s="4">
        <v>46344.0</v>
      </c>
      <c r="C544" s="4" t="str">
        <f t="shared" si="1"/>
        <v>November</v>
      </c>
      <c r="D544" s="3" t="s">
        <v>25</v>
      </c>
      <c r="E544" s="3" t="s">
        <v>15</v>
      </c>
      <c r="F544" s="3" t="s">
        <v>116</v>
      </c>
      <c r="G544" s="3" t="str">
        <f>VLOOKUP(F544, 'KODE PESAWAT'!$A$2:$C$42, 3, FALSE)</f>
        <v>VietJet Group</v>
      </c>
      <c r="H544" s="10">
        <v>4373000.0</v>
      </c>
      <c r="I544" s="10">
        <v>4154350.0</v>
      </c>
      <c r="J544" s="10">
        <f t="shared" si="2"/>
        <v>218650</v>
      </c>
      <c r="K544" s="11">
        <f t="shared" si="3"/>
        <v>0.05</v>
      </c>
      <c r="L544" s="3" t="str">
        <f t="shared" si="4"/>
        <v>Normal</v>
      </c>
      <c r="M544" s="10">
        <f t="shared" si="5"/>
        <v>-218650</v>
      </c>
      <c r="N544" s="3" t="str">
        <f t="shared" si="6"/>
        <v>Issued</v>
      </c>
      <c r="O544" s="3" t="str">
        <f t="shared" si="7"/>
        <v>PROFIT</v>
      </c>
      <c r="P544" s="3">
        <f t="shared" si="8"/>
        <v>1</v>
      </c>
      <c r="Q544" s="3">
        <f t="shared" si="9"/>
        <v>1</v>
      </c>
      <c r="R544" s="12">
        <f t="shared" si="10"/>
        <v>0</v>
      </c>
    </row>
    <row r="545">
      <c r="A545" s="3" t="s">
        <v>585</v>
      </c>
      <c r="B545" s="4">
        <v>46127.0</v>
      </c>
      <c r="C545" s="4" t="str">
        <f t="shared" si="1"/>
        <v>April</v>
      </c>
      <c r="D545" s="3" t="s">
        <v>14</v>
      </c>
      <c r="E545" s="3" t="s">
        <v>15</v>
      </c>
      <c r="F545" s="3" t="s">
        <v>37</v>
      </c>
      <c r="G545" s="3" t="str">
        <f>VLOOKUP(F545, 'KODE PESAWAT'!$A$2:$C$42, 3, FALSE)</f>
        <v>Lion Air Group</v>
      </c>
      <c r="H545" s="10">
        <v>7969000.0</v>
      </c>
      <c r="I545" s="10">
        <v>1.11566E7</v>
      </c>
      <c r="J545" s="10">
        <f t="shared" si="2"/>
        <v>-3187600</v>
      </c>
      <c r="K545" s="11">
        <f t="shared" si="3"/>
        <v>-0.4</v>
      </c>
      <c r="L545" s="3" t="str">
        <f t="shared" si="4"/>
        <v>Fare Increase</v>
      </c>
      <c r="M545" s="10">
        <f t="shared" si="5"/>
        <v>3187600</v>
      </c>
      <c r="N545" s="3" t="str">
        <f t="shared" si="6"/>
        <v>Issued</v>
      </c>
      <c r="O545" s="3" t="str">
        <f t="shared" si="7"/>
        <v>LOSS</v>
      </c>
      <c r="P545" s="3">
        <f t="shared" si="8"/>
        <v>1</v>
      </c>
      <c r="Q545" s="3">
        <f t="shared" si="9"/>
        <v>0</v>
      </c>
      <c r="R545" s="12">
        <f t="shared" si="10"/>
        <v>0</v>
      </c>
    </row>
    <row r="546">
      <c r="A546" s="3" t="s">
        <v>586</v>
      </c>
      <c r="B546" s="4">
        <v>46137.0</v>
      </c>
      <c r="C546" s="4" t="str">
        <f t="shared" si="1"/>
        <v>April</v>
      </c>
      <c r="D546" s="3" t="s">
        <v>18</v>
      </c>
      <c r="E546" s="3" t="s">
        <v>11</v>
      </c>
      <c r="F546" s="3" t="s">
        <v>12</v>
      </c>
      <c r="G546" s="3" t="str">
        <f>VLOOKUP(F546, 'KODE PESAWAT'!$A$2:$C$42, 3, FALSE)</f>
        <v>AirAsia Group</v>
      </c>
      <c r="H546" s="10">
        <v>9091000.0</v>
      </c>
      <c r="I546" s="10">
        <v>8636450.0</v>
      </c>
      <c r="J546" s="10">
        <f t="shared" si="2"/>
        <v>454550</v>
      </c>
      <c r="K546" s="11">
        <f t="shared" si="3"/>
        <v>0.05</v>
      </c>
      <c r="L546" s="3" t="str">
        <f t="shared" si="4"/>
        <v>Normal</v>
      </c>
      <c r="M546" s="10">
        <f t="shared" si="5"/>
        <v>-454550</v>
      </c>
      <c r="N546" s="3" t="str">
        <f t="shared" si="6"/>
        <v>Issued</v>
      </c>
      <c r="O546" s="3" t="str">
        <f t="shared" si="7"/>
        <v>PROFIT</v>
      </c>
      <c r="P546" s="3">
        <f t="shared" si="8"/>
        <v>1</v>
      </c>
      <c r="Q546" s="3">
        <f t="shared" si="9"/>
        <v>1</v>
      </c>
      <c r="R546" s="12">
        <f t="shared" si="10"/>
        <v>0</v>
      </c>
    </row>
    <row r="547">
      <c r="A547" s="3" t="s">
        <v>587</v>
      </c>
      <c r="B547" s="4">
        <v>46072.0</v>
      </c>
      <c r="C547" s="4" t="str">
        <f t="shared" si="1"/>
        <v>February</v>
      </c>
      <c r="D547" s="3" t="s">
        <v>30</v>
      </c>
      <c r="E547" s="3" t="s">
        <v>15</v>
      </c>
      <c r="F547" s="3" t="s">
        <v>33</v>
      </c>
      <c r="G547" s="3" t="str">
        <f>VLOOKUP(F547, 'KODE PESAWAT'!$A$2:$C$42, 3, FALSE)</f>
        <v>Garuda Indonesia Group</v>
      </c>
      <c r="H547" s="10">
        <v>2542000.0</v>
      </c>
      <c r="I547" s="10">
        <v>3558800.0</v>
      </c>
      <c r="J547" s="10">
        <f t="shared" si="2"/>
        <v>-1016800</v>
      </c>
      <c r="K547" s="11">
        <f t="shared" si="3"/>
        <v>-0.4</v>
      </c>
      <c r="L547" s="3" t="str">
        <f t="shared" si="4"/>
        <v>Fare Increase</v>
      </c>
      <c r="M547" s="10">
        <f t="shared" si="5"/>
        <v>1016800</v>
      </c>
      <c r="N547" s="3" t="str">
        <f t="shared" si="6"/>
        <v>Issued</v>
      </c>
      <c r="O547" s="3" t="str">
        <f t="shared" si="7"/>
        <v>LOSS</v>
      </c>
      <c r="P547" s="3">
        <f t="shared" si="8"/>
        <v>1</v>
      </c>
      <c r="Q547" s="3">
        <f t="shared" si="9"/>
        <v>0</v>
      </c>
      <c r="R547" s="12">
        <f t="shared" si="10"/>
        <v>0</v>
      </c>
    </row>
    <row r="548">
      <c r="A548" s="3" t="s">
        <v>588</v>
      </c>
      <c r="B548" s="4">
        <v>46161.0</v>
      </c>
      <c r="C548" s="4" t="str">
        <f t="shared" si="1"/>
        <v>May</v>
      </c>
      <c r="D548" s="3" t="s">
        <v>10</v>
      </c>
      <c r="E548" s="3" t="s">
        <v>11</v>
      </c>
      <c r="F548" s="3" t="s">
        <v>12</v>
      </c>
      <c r="G548" s="3" t="str">
        <f>VLOOKUP(F548, 'KODE PESAWAT'!$A$2:$C$42, 3, FALSE)</f>
        <v>AirAsia Group</v>
      </c>
      <c r="H548" s="10">
        <v>2529000.0</v>
      </c>
      <c r="I548" s="10">
        <v>2402550.0</v>
      </c>
      <c r="J548" s="10">
        <f t="shared" si="2"/>
        <v>126450</v>
      </c>
      <c r="K548" s="11">
        <f t="shared" si="3"/>
        <v>0.05</v>
      </c>
      <c r="L548" s="3" t="str">
        <f t="shared" si="4"/>
        <v>Normal</v>
      </c>
      <c r="M548" s="10">
        <f t="shared" si="5"/>
        <v>-126450</v>
      </c>
      <c r="N548" s="3" t="str">
        <f t="shared" si="6"/>
        <v>Issued</v>
      </c>
      <c r="O548" s="3" t="str">
        <f t="shared" si="7"/>
        <v>PROFIT</v>
      </c>
      <c r="P548" s="3">
        <f t="shared" si="8"/>
        <v>1</v>
      </c>
      <c r="Q548" s="3">
        <f t="shared" si="9"/>
        <v>1</v>
      </c>
      <c r="R548" s="12">
        <f t="shared" si="10"/>
        <v>0</v>
      </c>
    </row>
    <row r="549">
      <c r="A549" s="3" t="s">
        <v>589</v>
      </c>
      <c r="B549" s="4">
        <v>46028.0</v>
      </c>
      <c r="C549" s="4" t="str">
        <f t="shared" si="1"/>
        <v>January</v>
      </c>
      <c r="D549" s="3" t="s">
        <v>14</v>
      </c>
      <c r="E549" s="3" t="s">
        <v>15</v>
      </c>
      <c r="F549" s="3" t="s">
        <v>63</v>
      </c>
      <c r="G549" s="3" t="str">
        <f>VLOOKUP(F549, 'KODE PESAWAT'!$A$2:$C$42, 3, FALSE)</f>
        <v>Lion Air Group</v>
      </c>
      <c r="H549" s="10">
        <v>4399000.0</v>
      </c>
      <c r="I549" s="10">
        <v>1.09975E7</v>
      </c>
      <c r="J549" s="10">
        <f t="shared" si="2"/>
        <v>-6598500</v>
      </c>
      <c r="K549" s="11">
        <f t="shared" si="3"/>
        <v>-1.5</v>
      </c>
      <c r="L549" s="3" t="str">
        <f t="shared" si="4"/>
        <v>Over Buffer</v>
      </c>
      <c r="M549" s="10">
        <f t="shared" si="5"/>
        <v>-4399000</v>
      </c>
      <c r="N549" s="3" t="str">
        <f t="shared" si="6"/>
        <v>Refund</v>
      </c>
      <c r="O549" s="3" t="str">
        <f t="shared" si="7"/>
        <v>N/A</v>
      </c>
      <c r="P549" s="3">
        <f t="shared" si="8"/>
        <v>0</v>
      </c>
      <c r="Q549" s="3">
        <f t="shared" si="9"/>
        <v>0</v>
      </c>
      <c r="R549" s="12">
        <f t="shared" si="10"/>
        <v>1</v>
      </c>
    </row>
    <row r="550">
      <c r="A550" s="3" t="s">
        <v>590</v>
      </c>
      <c r="B550" s="4">
        <v>46150.0</v>
      </c>
      <c r="C550" s="4" t="str">
        <f t="shared" si="1"/>
        <v>May</v>
      </c>
      <c r="D550" s="3" t="s">
        <v>23</v>
      </c>
      <c r="E550" s="3" t="s">
        <v>15</v>
      </c>
      <c r="F550" s="3" t="s">
        <v>19</v>
      </c>
      <c r="G550" s="3" t="str">
        <f>VLOOKUP(F550, 'KODE PESAWAT'!$A$2:$C$42, 3, FALSE)</f>
        <v>Lion Air Group</v>
      </c>
      <c r="H550" s="10">
        <v>4828000.0</v>
      </c>
      <c r="I550" s="10">
        <v>6759200.0</v>
      </c>
      <c r="J550" s="10">
        <f t="shared" si="2"/>
        <v>-1931200</v>
      </c>
      <c r="K550" s="11">
        <f t="shared" si="3"/>
        <v>-0.4</v>
      </c>
      <c r="L550" s="3" t="str">
        <f t="shared" si="4"/>
        <v>Fare Increase</v>
      </c>
      <c r="M550" s="10">
        <f t="shared" si="5"/>
        <v>1931200</v>
      </c>
      <c r="N550" s="3" t="str">
        <f t="shared" si="6"/>
        <v>Issued</v>
      </c>
      <c r="O550" s="3" t="str">
        <f t="shared" si="7"/>
        <v>LOSS</v>
      </c>
      <c r="P550" s="3">
        <f t="shared" si="8"/>
        <v>1</v>
      </c>
      <c r="Q550" s="3">
        <f t="shared" si="9"/>
        <v>0</v>
      </c>
      <c r="R550" s="12">
        <f t="shared" si="10"/>
        <v>0</v>
      </c>
    </row>
    <row r="551">
      <c r="A551" s="3" t="s">
        <v>591</v>
      </c>
      <c r="B551" s="4">
        <v>46156.0</v>
      </c>
      <c r="C551" s="4" t="str">
        <f t="shared" si="1"/>
        <v>May</v>
      </c>
      <c r="D551" s="3" t="s">
        <v>30</v>
      </c>
      <c r="E551" s="3" t="s">
        <v>15</v>
      </c>
      <c r="F551" s="3" t="s">
        <v>579</v>
      </c>
      <c r="G551" s="3" t="str">
        <f>VLOOKUP(F551, 'KODE PESAWAT'!$A$2:$C$42, 3, FALSE)</f>
        <v>AirAsia Group</v>
      </c>
      <c r="H551" s="10">
        <v>3423000.0</v>
      </c>
      <c r="I551" s="10">
        <v>3251850.0</v>
      </c>
      <c r="J551" s="10">
        <f t="shared" si="2"/>
        <v>171150</v>
      </c>
      <c r="K551" s="11">
        <f t="shared" si="3"/>
        <v>0.05</v>
      </c>
      <c r="L551" s="3" t="str">
        <f t="shared" si="4"/>
        <v>Normal</v>
      </c>
      <c r="M551" s="10">
        <f t="shared" si="5"/>
        <v>-171150</v>
      </c>
      <c r="N551" s="3" t="str">
        <f t="shared" si="6"/>
        <v>Issued</v>
      </c>
      <c r="O551" s="3" t="str">
        <f t="shared" si="7"/>
        <v>PROFIT</v>
      </c>
      <c r="P551" s="3">
        <f t="shared" si="8"/>
        <v>1</v>
      </c>
      <c r="Q551" s="3">
        <f t="shared" si="9"/>
        <v>1</v>
      </c>
      <c r="R551" s="12">
        <f t="shared" si="10"/>
        <v>0</v>
      </c>
    </row>
    <row r="552">
      <c r="H552" s="10"/>
      <c r="I55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  <col customWidth="1" min="3" max="3" width="21.25"/>
    <col customWidth="1" min="4" max="4" width="19.5"/>
    <col customWidth="1" min="5" max="5" width="19.13"/>
    <col customWidth="1" min="6" max="6" width="18.13"/>
    <col customWidth="1" min="7" max="7" width="19.0"/>
    <col customWidth="1" min="8" max="8" width="20.63"/>
    <col customWidth="1" min="9" max="9" width="21.25"/>
    <col customWidth="1" min="10" max="10" width="18.75"/>
    <col customWidth="1" min="12" max="12" width="23.13"/>
  </cols>
  <sheetData>
    <row r="1"/>
    <row r="2">
      <c r="K2" s="13"/>
    </row>
    <row r="3">
      <c r="F3" s="18"/>
      <c r="K3" s="17"/>
    </row>
    <row r="4">
      <c r="F4" s="15"/>
      <c r="K4" s="13"/>
    </row>
    <row r="5">
      <c r="F5" s="15"/>
      <c r="G5" s="13"/>
      <c r="H5" s="15"/>
      <c r="I5" s="19"/>
      <c r="J5" s="15"/>
      <c r="K5" s="13"/>
      <c r="M5" s="13"/>
    </row>
    <row r="6">
      <c r="F6" s="15"/>
      <c r="G6" s="13"/>
      <c r="H6" s="15"/>
      <c r="I6" s="13"/>
      <c r="J6" s="15"/>
      <c r="K6" s="13"/>
      <c r="M6" s="19"/>
    </row>
    <row r="7">
      <c r="F7" s="15"/>
      <c r="G7" s="13"/>
      <c r="H7" s="15"/>
      <c r="I7" s="13"/>
      <c r="J7" s="15"/>
      <c r="K7" s="13"/>
      <c r="L7" s="13"/>
      <c r="M7" s="20"/>
    </row>
    <row r="8">
      <c r="F8" s="15"/>
      <c r="I8" s="13"/>
      <c r="K8" s="13"/>
      <c r="L8" s="13"/>
      <c r="M8" s="19"/>
    </row>
    <row r="9">
      <c r="F9" s="15"/>
      <c r="I9" s="15"/>
      <c r="J9" s="13"/>
      <c r="K9" s="13"/>
      <c r="L9" s="13"/>
      <c r="M9" s="19"/>
    </row>
    <row r="10">
      <c r="F10" s="15"/>
      <c r="I10" s="16"/>
      <c r="J10" s="17"/>
      <c r="K10" s="13"/>
      <c r="L10" s="13"/>
      <c r="M10" s="19"/>
    </row>
    <row r="11">
      <c r="F11" s="15"/>
      <c r="I11" s="19"/>
      <c r="J11" s="15"/>
      <c r="K11" s="13"/>
      <c r="L11" s="13"/>
      <c r="M11" s="19"/>
    </row>
    <row r="12">
      <c r="F12" s="15"/>
      <c r="I12" s="13"/>
      <c r="J12" s="15"/>
      <c r="K12" s="13"/>
    </row>
    <row r="13">
      <c r="F13" s="15"/>
      <c r="I13" s="13"/>
      <c r="J13" s="15"/>
      <c r="K13" s="13"/>
    </row>
    <row r="14">
      <c r="F14" s="15"/>
      <c r="I14" s="13"/>
      <c r="J14" s="15"/>
      <c r="K14" s="13"/>
    </row>
    <row r="15">
      <c r="A15" s="13"/>
      <c r="B15" s="15"/>
      <c r="C15" s="13"/>
      <c r="D15" s="15"/>
      <c r="E15" s="13"/>
      <c r="F15" s="15"/>
    </row>
    <row r="16">
      <c r="A16" s="13"/>
      <c r="B16" s="15"/>
      <c r="C16" s="13"/>
      <c r="D16" s="15"/>
      <c r="E16" s="13"/>
      <c r="F16" s="15"/>
      <c r="G16" s="13"/>
    </row>
    <row r="17">
      <c r="A17" s="13"/>
      <c r="B17" s="15"/>
      <c r="C17" s="13"/>
    </row>
    <row r="18">
      <c r="A18" s="13"/>
      <c r="B18" s="15"/>
      <c r="C18" s="13"/>
    </row>
    <row r="19">
      <c r="A19" s="13"/>
      <c r="B19" s="15"/>
      <c r="C19" s="13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2" width="22.5"/>
    <col customWidth="1" min="3" max="3" width="20.13"/>
    <col customWidth="1" min="4" max="4" width="17.25"/>
    <col customWidth="1" min="5" max="5" width="15.88"/>
    <col customWidth="1" min="6" max="6" width="10.0"/>
    <col customWidth="1" min="7" max="7" width="14.5"/>
    <col customWidth="1" min="8" max="8" width="21.0"/>
    <col customWidth="1" min="9" max="9" width="20.38"/>
  </cols>
  <sheetData>
    <row r="3">
      <c r="A3" s="30" t="s">
        <v>625</v>
      </c>
    </row>
    <row r="5">
      <c r="A5" s="31" t="s">
        <v>626</v>
      </c>
      <c r="G5" s="32" t="s">
        <v>627</v>
      </c>
    </row>
    <row r="6">
      <c r="A6" s="31"/>
    </row>
    <row r="7"/>
    <row r="8"/>
    <row r="9"/>
    <row r="10"/>
    <row r="11"/>
    <row r="13">
      <c r="A13" s="31" t="s">
        <v>630</v>
      </c>
    </row>
    <row r="15">
      <c r="A15" s="13" t="s">
        <v>4</v>
      </c>
      <c r="B15" s="13" t="s">
        <v>631</v>
      </c>
      <c r="C15" s="13" t="s">
        <v>628</v>
      </c>
      <c r="E15" s="3" t="str">
        <f>IFERROR(__xludf.DUMMYFUNCTION("QUERY('DATASET EDIT'!A:R,
""SELECT F,
        SUM(I)
 WHERE F IS NOT NULL
   AND O = 'LOSS'
 GROUP BY F
 ORDER BY SUM(I) DESC
 LIMIT 5
 LABEL
   F 'Airline',
   SUM(I) 'Total Loss Amount (Rp)'"",1)
"),"Airline")</f>
        <v>Airline</v>
      </c>
      <c r="F15" s="3" t="str">
        <f>IFERROR(__xludf.DUMMYFUNCTION("""COMPUTED_VALUE"""),"Total Loss Amount (Rp)")</f>
        <v>Total Loss Amount (Rp)</v>
      </c>
    </row>
    <row r="16">
      <c r="A16" s="13" t="s">
        <v>63</v>
      </c>
      <c r="B16" s="15">
        <v>2.196353E8</v>
      </c>
      <c r="C16" s="34">
        <v>0.17964473030302733</v>
      </c>
      <c r="E16" s="3" t="str">
        <f>IFERROR(__xludf.DUMMYFUNCTION("""COMPUTED_VALUE"""),"SL")</f>
        <v>SL</v>
      </c>
      <c r="F16" s="3">
        <f>IFERROR(__xludf.DUMMYFUNCTION("""COMPUTED_VALUE"""),2.196353E8)</f>
        <v>219635300</v>
      </c>
    </row>
    <row r="17">
      <c r="A17" s="13" t="s">
        <v>19</v>
      </c>
      <c r="B17" s="15">
        <v>1.36981E8</v>
      </c>
      <c r="C17" s="34">
        <v>0.1120398897701735</v>
      </c>
      <c r="E17" s="3" t="str">
        <f>IFERROR(__xludf.DUMMYFUNCTION("""COMPUTED_VALUE"""),"JT")</f>
        <v>JT</v>
      </c>
      <c r="F17" s="3">
        <f>IFERROR(__xludf.DUMMYFUNCTION("""COMPUTED_VALUE"""),1.36981E8)</f>
        <v>136981000</v>
      </c>
    </row>
    <row r="18">
      <c r="A18" s="13" t="s">
        <v>42</v>
      </c>
      <c r="B18" s="15">
        <v>1.006345E8</v>
      </c>
      <c r="C18" s="34">
        <v>0.08231125694130226</v>
      </c>
      <c r="E18" s="3" t="str">
        <f>IFERROR(__xludf.DUMMYFUNCTION("""COMPUTED_VALUE"""),"VN")</f>
        <v>VN</v>
      </c>
      <c r="F18" s="3">
        <f>IFERROR(__xludf.DUMMYFUNCTION("""COMPUTED_VALUE"""),1.006345E8)</f>
        <v>100634500</v>
      </c>
    </row>
    <row r="19">
      <c r="A19" s="13" t="s">
        <v>12</v>
      </c>
      <c r="B19" s="15">
        <v>9.793615E7</v>
      </c>
      <c r="C19" s="34">
        <v>0.0801042148218744</v>
      </c>
      <c r="E19" s="3" t="str">
        <f>IFERROR(__xludf.DUMMYFUNCTION("""COMPUTED_VALUE"""),"AK")</f>
        <v>AK</v>
      </c>
      <c r="F19" s="3">
        <f>IFERROR(__xludf.DUMMYFUNCTION("""COMPUTED_VALUE"""),9.793615E7)</f>
        <v>97936150</v>
      </c>
    </row>
    <row r="20">
      <c r="A20" s="13" t="s">
        <v>33</v>
      </c>
      <c r="B20" s="15">
        <v>9.457005E7</v>
      </c>
      <c r="C20" s="34">
        <v>0.07735100472006917</v>
      </c>
      <c r="E20" s="3" t="str">
        <f>IFERROR(__xludf.DUMMYFUNCTION("""COMPUTED_VALUE"""),"GA")</f>
        <v>GA</v>
      </c>
      <c r="F20" s="3">
        <f>IFERROR(__xludf.DUMMYFUNCTION("""COMPUTED_VALUE"""),9.457005E7)</f>
        <v>94570050</v>
      </c>
    </row>
    <row r="21">
      <c r="A21" s="13" t="s">
        <v>31</v>
      </c>
      <c r="B21" s="15">
        <v>8.120485E7</v>
      </c>
      <c r="C21" s="34">
        <v>0.0664193022594628</v>
      </c>
    </row>
    <row r="22">
      <c r="A22" s="13" t="s">
        <v>35</v>
      </c>
      <c r="B22" s="15">
        <v>7.80065E7</v>
      </c>
      <c r="C22" s="34">
        <v>0.06380329871556667</v>
      </c>
    </row>
    <row r="23">
      <c r="A23" s="13" t="s">
        <v>37</v>
      </c>
      <c r="B23" s="15">
        <v>7.688665E7</v>
      </c>
      <c r="C23" s="34">
        <v>0.06288734781318511</v>
      </c>
    </row>
    <row r="24">
      <c r="A24" s="13" t="s">
        <v>16</v>
      </c>
      <c r="B24" s="15">
        <v>6.24416E7</v>
      </c>
      <c r="C24" s="34">
        <v>0.05107241136415463</v>
      </c>
    </row>
    <row r="25">
      <c r="A25" s="13" t="s">
        <v>61</v>
      </c>
      <c r="B25" s="15">
        <v>6.10964E7</v>
      </c>
      <c r="C25" s="34">
        <v>0.04997214154776522</v>
      </c>
    </row>
    <row r="26">
      <c r="A26" s="13" t="s">
        <v>21</v>
      </c>
      <c r="B26" s="15">
        <v>5.295195E7</v>
      </c>
      <c r="C26" s="34">
        <v>0.04331060980074418</v>
      </c>
    </row>
    <row r="27">
      <c r="A27" s="13" t="s">
        <v>100</v>
      </c>
      <c r="B27" s="15">
        <v>4.40587E7</v>
      </c>
      <c r="C27" s="34">
        <v>0.03603661742443947</v>
      </c>
    </row>
    <row r="28">
      <c r="A28" s="13" t="s">
        <v>26</v>
      </c>
      <c r="B28" s="15">
        <v>2.95927E7</v>
      </c>
      <c r="C28" s="34">
        <v>0.024204545491723767</v>
      </c>
    </row>
    <row r="29">
      <c r="A29" s="13" t="s">
        <v>49</v>
      </c>
      <c r="B29" s="15">
        <v>2.31385E7</v>
      </c>
      <c r="C29" s="34">
        <v>0.018925507840117674</v>
      </c>
    </row>
    <row r="30">
      <c r="A30" s="13" t="s">
        <v>136</v>
      </c>
      <c r="B30" s="15">
        <v>2.081115E7</v>
      </c>
      <c r="C30" s="34">
        <v>0.017021915097645265</v>
      </c>
    </row>
    <row r="31">
      <c r="A31" s="13" t="s">
        <v>116</v>
      </c>
      <c r="B31" s="15">
        <v>1.831335E7</v>
      </c>
      <c r="C31" s="34">
        <v>0.014978907405571625</v>
      </c>
    </row>
    <row r="32">
      <c r="A32" s="13" t="s">
        <v>78</v>
      </c>
      <c r="B32" s="15">
        <v>1.043E7</v>
      </c>
      <c r="C32" s="34">
        <v>0.008530935314407908</v>
      </c>
    </row>
    <row r="33">
      <c r="A33" s="13" t="s">
        <v>340</v>
      </c>
      <c r="B33" s="15">
        <v>8468900.0</v>
      </c>
      <c r="C33" s="34">
        <v>0.006926906815358497</v>
      </c>
    </row>
    <row r="34">
      <c r="A34" s="13" t="s">
        <v>421</v>
      </c>
      <c r="B34" s="15">
        <v>2620800.0</v>
      </c>
      <c r="C34" s="34">
        <v>0.0021436122024928324</v>
      </c>
    </row>
    <row r="35">
      <c r="A35" s="13" t="s">
        <v>161</v>
      </c>
      <c r="B35" s="15">
        <v>1217850.0</v>
      </c>
      <c r="C35" s="34">
        <v>9.961073415773413E-4</v>
      </c>
    </row>
    <row r="36">
      <c r="A36" s="13" t="s">
        <v>268</v>
      </c>
      <c r="B36" s="15">
        <v>838349.9999999999</v>
      </c>
      <c r="C36" s="34">
        <v>6.857056204059317E-4</v>
      </c>
    </row>
    <row r="37">
      <c r="A37" s="13" t="s">
        <v>112</v>
      </c>
      <c r="B37" s="15">
        <v>773949.9999999999</v>
      </c>
      <c r="C37" s="34">
        <v>6.330313889344199E-4</v>
      </c>
    </row>
    <row r="38">
      <c r="A38" s="13" t="s">
        <v>610</v>
      </c>
      <c r="B38" s="15">
        <v>1.2226092E9</v>
      </c>
      <c r="C38" s="34">
        <v>1.0</v>
      </c>
    </row>
    <row r="40">
      <c r="A40" s="31" t="s">
        <v>632</v>
      </c>
    </row>
    <row r="42">
      <c r="A42" s="13" t="s">
        <v>597</v>
      </c>
      <c r="B42" s="13" t="s">
        <v>633</v>
      </c>
      <c r="C42" s="13" t="s">
        <v>6</v>
      </c>
      <c r="D42" s="3" t="s">
        <v>634</v>
      </c>
      <c r="E42" s="3" t="s">
        <v>603</v>
      </c>
    </row>
    <row r="43">
      <c r="A43" s="13" t="s">
        <v>606</v>
      </c>
      <c r="B43" s="35">
        <v>9.58373E8</v>
      </c>
      <c r="C43" s="35">
        <v>1.2226092E9</v>
      </c>
      <c r="D43" s="35">
        <v>2.642362E8</v>
      </c>
      <c r="E43" s="36">
        <v>1.2226092E9</v>
      </c>
      <c r="F43" s="13"/>
    </row>
    <row r="44">
      <c r="A44" s="13" t="s">
        <v>629</v>
      </c>
      <c r="B44" s="37">
        <v>4.3332E8</v>
      </c>
      <c r="C44" s="37">
        <v>1.0833E9</v>
      </c>
      <c r="D44" s="37">
        <v>-4.3332E8</v>
      </c>
      <c r="E44" s="36">
        <v>0.0</v>
      </c>
      <c r="F44" s="17"/>
    </row>
    <row r="45">
      <c r="A45" s="13" t="s">
        <v>608</v>
      </c>
      <c r="B45" s="35">
        <v>5.12504E8</v>
      </c>
      <c r="C45" s="35">
        <v>4.868788E8</v>
      </c>
      <c r="D45" s="35">
        <v>-2.56252E7</v>
      </c>
      <c r="E45" s="36">
        <v>4.868788E8</v>
      </c>
      <c r="F45" s="15"/>
    </row>
    <row r="46">
      <c r="A46" s="3" t="s">
        <v>610</v>
      </c>
      <c r="B46" s="36">
        <v>1.904197E9</v>
      </c>
      <c r="C46" s="36">
        <v>2.792788E9</v>
      </c>
      <c r="D46" s="36">
        <v>-1.94709E8</v>
      </c>
      <c r="E46" s="36">
        <v>1.709488E9</v>
      </c>
      <c r="F46" s="15"/>
      <c r="G46" s="15"/>
      <c r="H46" s="38"/>
      <c r="I46" s="10"/>
    </row>
    <row r="47">
      <c r="F47" s="15"/>
      <c r="G47" s="15"/>
      <c r="H47" s="38"/>
      <c r="I47" s="10"/>
    </row>
    <row r="48">
      <c r="F48" s="15"/>
      <c r="G48" s="15"/>
      <c r="H48" s="38"/>
      <c r="I48" s="10"/>
      <c r="L48" s="41" t="s">
        <v>636</v>
      </c>
    </row>
    <row r="49">
      <c r="F49" s="15"/>
      <c r="G49" s="15"/>
      <c r="H49" s="38"/>
      <c r="I49" s="10"/>
    </row>
    <row r="50">
      <c r="F50" s="15"/>
      <c r="G50" s="15"/>
      <c r="H50" s="38"/>
      <c r="I50" s="10"/>
    </row>
    <row r="51">
      <c r="F51" s="15"/>
      <c r="G51" s="15"/>
      <c r="H51" s="38"/>
      <c r="I51" s="10"/>
    </row>
    <row r="52">
      <c r="F52" s="15"/>
      <c r="G52" s="15"/>
      <c r="H52" s="38"/>
      <c r="I52" s="10"/>
    </row>
    <row r="53">
      <c r="F53" s="15"/>
      <c r="G53" s="15"/>
      <c r="H53" s="38"/>
      <c r="I53" s="10"/>
    </row>
    <row r="54">
      <c r="F54" s="15"/>
      <c r="G54" s="15"/>
      <c r="H54" s="38"/>
      <c r="I54" s="10"/>
    </row>
    <row r="55">
      <c r="F55" s="15"/>
      <c r="G55" s="15"/>
      <c r="H55" s="38"/>
      <c r="I55" s="10"/>
    </row>
    <row r="56">
      <c r="F56" s="15"/>
      <c r="G56" s="15"/>
      <c r="H56" s="38"/>
      <c r="I56" s="10"/>
    </row>
    <row r="57">
      <c r="F57" s="15"/>
      <c r="G57" s="15"/>
      <c r="H57" s="38"/>
      <c r="I57" s="10"/>
    </row>
    <row r="58"/>
    <row r="59"/>
    <row r="60"/>
    <row r="61"/>
    <row r="64">
      <c r="A64" s="30" t="s">
        <v>637</v>
      </c>
    </row>
    <row r="66">
      <c r="A66" s="12" t="s">
        <v>638</v>
      </c>
    </row>
    <row r="68">
      <c r="A68" s="22" t="str">
        <f>IFERROR(__xludf.DUMMYFUNCTION("QUERY('DATASET EDIT'!F2:F1001,
 ""select F, count(F)
  where F is not null
  group by F
  order by count(F) desc
  limit 5
  label F 'Airline',
        count(F) 'Total Transactions'"")
"),"Airline")</f>
        <v>Airline</v>
      </c>
      <c r="B68" s="22" t="str">
        <f>IFERROR(__xludf.DUMMYFUNCTION("""COMPUTED_VALUE"""),"Total Transactions")</f>
        <v>Total Transactions</v>
      </c>
    </row>
    <row r="69">
      <c r="A69" s="22" t="str">
        <f>IFERROR(__xludf.DUMMYFUNCTION("""COMPUTED_VALUE"""),"JT")</f>
        <v>JT</v>
      </c>
      <c r="B69" s="22">
        <f>IFERROR(__xludf.DUMMYFUNCTION("""COMPUTED_VALUE"""),79.0)</f>
        <v>79</v>
      </c>
    </row>
    <row r="70">
      <c r="A70" s="22" t="str">
        <f>IFERROR(__xludf.DUMMYFUNCTION("""COMPUTED_VALUE"""),"SL")</f>
        <v>SL</v>
      </c>
      <c r="B70" s="22">
        <f>IFERROR(__xludf.DUMMYFUNCTION("""COMPUTED_VALUE"""),72.0)</f>
        <v>72</v>
      </c>
    </row>
    <row r="71">
      <c r="A71" s="22" t="str">
        <f>IFERROR(__xludf.DUMMYFUNCTION("""COMPUTED_VALUE"""),"AK")</f>
        <v>AK</v>
      </c>
      <c r="B71" s="22">
        <f>IFERROR(__xludf.DUMMYFUNCTION("""COMPUTED_VALUE"""),43.0)</f>
        <v>43</v>
      </c>
    </row>
    <row r="72">
      <c r="A72" s="22" t="str">
        <f>IFERROR(__xludf.DUMMYFUNCTION("""COMPUTED_VALUE"""),"ID")</f>
        <v>ID</v>
      </c>
      <c r="B72" s="22">
        <f>IFERROR(__xludf.DUMMYFUNCTION("""COMPUTED_VALUE"""),39.0)</f>
        <v>39</v>
      </c>
    </row>
    <row r="73">
      <c r="A73" s="22" t="str">
        <f>IFERROR(__xludf.DUMMYFUNCTION("""COMPUTED_VALUE"""),"DD")</f>
        <v>DD</v>
      </c>
      <c r="B73" s="22">
        <f>IFERROR(__xludf.DUMMYFUNCTION("""COMPUTED_VALUE"""),38.0)</f>
        <v>38</v>
      </c>
    </row>
    <row r="75">
      <c r="A75" s="12" t="s">
        <v>639</v>
      </c>
    </row>
    <row r="76">
      <c r="A76" s="21" t="str">
        <f>IFERROR(__xludf.DUMMYFUNCTION("QUERY('DATASET EDIT'!D2:D1001,
 ""select D, count(D)
  where D is not null
  group by D
  order by count(D) desc
  limit 5
  label D 'Route',
        count(D) 'Total Transactions'"")
"),"Route")</f>
        <v>Route</v>
      </c>
      <c r="B76" s="21" t="str">
        <f>IFERROR(__xludf.DUMMYFUNCTION("""COMPUTED_VALUE"""),"Total Transactions")</f>
        <v>Total Transactions</v>
      </c>
    </row>
    <row r="77">
      <c r="A77" s="21" t="str">
        <f>IFERROR(__xludf.DUMMYFUNCTION("""COMPUTED_VALUE"""),"DMK-CNX")</f>
        <v>DMK-CNX</v>
      </c>
      <c r="B77" s="21">
        <f>IFERROR(__xludf.DUMMYFUNCTION("""COMPUTED_VALUE"""),106.0)</f>
        <v>106</v>
      </c>
    </row>
    <row r="78">
      <c r="A78" s="21" t="str">
        <f>IFERROR(__xludf.DUMMYFUNCTION("""COMPUTED_VALUE"""),"CGK-DPS")</f>
        <v>CGK-DPS</v>
      </c>
      <c r="B78" s="21">
        <f>IFERROR(__xludf.DUMMYFUNCTION("""COMPUTED_VALUE"""),94.0)</f>
        <v>94</v>
      </c>
    </row>
    <row r="79">
      <c r="A79" s="21" t="str">
        <f>IFERROR(__xludf.DUMMYFUNCTION("""COMPUTED_VALUE"""),"SUB-SOQ")</f>
        <v>SUB-SOQ</v>
      </c>
      <c r="B79" s="21">
        <f>IFERROR(__xludf.DUMMYFUNCTION("""COMPUTED_VALUE"""),91.0)</f>
        <v>91</v>
      </c>
    </row>
    <row r="80">
      <c r="A80" s="21" t="str">
        <f>IFERROR(__xludf.DUMMYFUNCTION("""COMPUTED_VALUE"""),"SIN-CGK")</f>
        <v>SIN-CGK</v>
      </c>
      <c r="B80" s="21">
        <f>IFERROR(__xludf.DUMMYFUNCTION("""COMPUTED_VALUE"""),90.0)</f>
        <v>90</v>
      </c>
    </row>
    <row r="81">
      <c r="A81" s="21" t="str">
        <f>IFERROR(__xludf.DUMMYFUNCTION("""COMPUTED_VALUE"""),"SGN-HAN")</f>
        <v>SGN-HAN</v>
      </c>
      <c r="B81" s="21">
        <f>IFERROR(__xludf.DUMMYFUNCTION("""COMPUTED_VALUE"""),87.0)</f>
        <v>87</v>
      </c>
    </row>
    <row r="84">
      <c r="A84" s="12" t="s">
        <v>640</v>
      </c>
    </row>
    <row r="85">
      <c r="A85" s="25" t="str">
        <f>IFERROR(__xludf.DUMMYFUNCTION("QUERY('DATASET EDIT'!E2:M1001,
 ""select E,
         count(E),
         sum(M),
         avg(M)
  where E is not null
  group by E
  label E 'Flight Type',
        count(E) 'Total Transactions',
        sum(M) 'Total Financial Impact (Rp)',
        avg(M)"&amp;" 'Avg Impact per Transaction (Rp)'"")
"),"Flight Type")</f>
        <v>Flight Type</v>
      </c>
      <c r="B85" s="25" t="str">
        <f>IFERROR(__xludf.DUMMYFUNCTION("""COMPUTED_VALUE"""),"Total Transactions")</f>
        <v>Total Transactions</v>
      </c>
      <c r="C85" s="45" t="str">
        <f>IFERROR(__xludf.DUMMYFUNCTION("""COMPUTED_VALUE"""),"Total Financial Impact (Rp)")</f>
        <v>Total Financial Impact (Rp)</v>
      </c>
      <c r="D85" s="45" t="str">
        <f>IFERROR(__xludf.DUMMYFUNCTION("""COMPUTED_VALUE"""),"Avg Impact per Transaction (Rp)")</f>
        <v>Avg Impact per Transaction (Rp)</v>
      </c>
      <c r="F85" s="41" t="s">
        <v>641</v>
      </c>
    </row>
    <row r="86">
      <c r="A86" s="21" t="str">
        <f>IFERROR(__xludf.DUMMYFUNCTION("""COMPUTED_VALUE"""),"Domestic")</f>
        <v>Domestic</v>
      </c>
      <c r="B86" s="21">
        <f>IFERROR(__xludf.DUMMYFUNCTION("""COMPUTED_VALUE"""),378.0)</f>
        <v>378</v>
      </c>
      <c r="C86" s="29">
        <f>IFERROR(__xludf.DUMMYFUNCTION("""COMPUTED_VALUE"""),-1.2445785E8)</f>
        <v>-124457850</v>
      </c>
      <c r="D86" s="29">
        <f>IFERROR(__xludf.DUMMYFUNCTION("""COMPUTED_VALUE"""),-329253.5714285714)</f>
        <v>-329253.5714</v>
      </c>
    </row>
    <row r="87">
      <c r="A87" s="21" t="str">
        <f>IFERROR(__xludf.DUMMYFUNCTION("""COMPUTED_VALUE"""),"International")</f>
        <v>International</v>
      </c>
      <c r="B87" s="21">
        <f>IFERROR(__xludf.DUMMYFUNCTION("""COMPUTED_VALUE"""),172.0)</f>
        <v>172</v>
      </c>
      <c r="C87" s="29">
        <f>IFERROR(__xludf.DUMMYFUNCTION("""COMPUTED_VALUE"""),-7.025115E7)</f>
        <v>-70251150</v>
      </c>
      <c r="D87" s="29">
        <f>IFERROR(__xludf.DUMMYFUNCTION("""COMPUTED_VALUE"""),-408436.9186046512)</f>
        <v>-408436.9186</v>
      </c>
    </row>
    <row r="90">
      <c r="A90" s="12" t="s">
        <v>642</v>
      </c>
    </row>
    <row r="91">
      <c r="A91" s="22" t="str">
        <f>IFERROR(__xludf.DUMMYFUNCTION("QUERY('DATASET EDIT'!D2:E1001,
 ""select D, E, count(D)
  where D is not null
  group by D, E
  order by count(D) desc
  label D 'Route',
        E 'Flight Type',
        count(D) 'Total Transactions'"")
"),"Route")</f>
        <v>Route</v>
      </c>
      <c r="B91" s="22" t="str">
        <f>IFERROR(__xludf.DUMMYFUNCTION("""COMPUTED_VALUE"""),"Flight Type")</f>
        <v>Flight Type</v>
      </c>
      <c r="C91" s="22" t="str">
        <f>IFERROR(__xludf.DUMMYFUNCTION("""COMPUTED_VALUE"""),"Total Transactions")</f>
        <v>Total Transactions</v>
      </c>
    </row>
    <row r="92">
      <c r="A92" s="22" t="str">
        <f>IFERROR(__xludf.DUMMYFUNCTION("""COMPUTED_VALUE"""),"DMK-CNX")</f>
        <v>DMK-CNX</v>
      </c>
      <c r="B92" s="22" t="str">
        <f>IFERROR(__xludf.DUMMYFUNCTION("""COMPUTED_VALUE"""),"Domestic")</f>
        <v>Domestic</v>
      </c>
      <c r="C92" s="22">
        <f>IFERROR(__xludf.DUMMYFUNCTION("""COMPUTED_VALUE"""),106.0)</f>
        <v>106</v>
      </c>
    </row>
    <row r="93">
      <c r="A93" s="22" t="str">
        <f>IFERROR(__xludf.DUMMYFUNCTION("""COMPUTED_VALUE"""),"CGK-DPS")</f>
        <v>CGK-DPS</v>
      </c>
      <c r="B93" s="22" t="str">
        <f>IFERROR(__xludf.DUMMYFUNCTION("""COMPUTED_VALUE"""),"Domestic")</f>
        <v>Domestic</v>
      </c>
      <c r="C93" s="22">
        <f>IFERROR(__xludf.DUMMYFUNCTION("""COMPUTED_VALUE"""),94.0)</f>
        <v>94</v>
      </c>
    </row>
    <row r="94">
      <c r="A94" s="22" t="str">
        <f>IFERROR(__xludf.DUMMYFUNCTION("""COMPUTED_VALUE"""),"SUB-SOQ")</f>
        <v>SUB-SOQ</v>
      </c>
      <c r="B94" s="22" t="str">
        <f>IFERROR(__xludf.DUMMYFUNCTION("""COMPUTED_VALUE"""),"Domestic")</f>
        <v>Domestic</v>
      </c>
      <c r="C94" s="22">
        <f>IFERROR(__xludf.DUMMYFUNCTION("""COMPUTED_VALUE"""),91.0)</f>
        <v>91</v>
      </c>
    </row>
    <row r="95">
      <c r="A95" s="22" t="str">
        <f>IFERROR(__xludf.DUMMYFUNCTION("""COMPUTED_VALUE"""),"SIN-CGK")</f>
        <v>SIN-CGK</v>
      </c>
      <c r="B95" s="22" t="str">
        <f>IFERROR(__xludf.DUMMYFUNCTION("""COMPUTED_VALUE"""),"International")</f>
        <v>International</v>
      </c>
      <c r="C95" s="22">
        <f>IFERROR(__xludf.DUMMYFUNCTION("""COMPUTED_VALUE"""),90.0)</f>
        <v>90</v>
      </c>
    </row>
    <row r="96">
      <c r="A96" s="22" t="str">
        <f>IFERROR(__xludf.DUMMYFUNCTION("""COMPUTED_VALUE"""),"SGN-HAN")</f>
        <v>SGN-HAN</v>
      </c>
      <c r="B96" s="22" t="str">
        <f>IFERROR(__xludf.DUMMYFUNCTION("""COMPUTED_VALUE"""),"Domestic")</f>
        <v>Domestic</v>
      </c>
      <c r="C96" s="22">
        <f>IFERROR(__xludf.DUMMYFUNCTION("""COMPUTED_VALUE"""),87.0)</f>
        <v>87</v>
      </c>
    </row>
    <row r="97">
      <c r="A97" s="22" t="str">
        <f>IFERROR(__xludf.DUMMYFUNCTION("""COMPUTED_VALUE"""),"TPE-MEL")</f>
        <v>TPE-MEL</v>
      </c>
      <c r="B97" s="22" t="str">
        <f>IFERROR(__xludf.DUMMYFUNCTION("""COMPUTED_VALUE"""),"International")</f>
        <v>International</v>
      </c>
      <c r="C97" s="22">
        <f>IFERROR(__xludf.DUMMYFUNCTION("""COMPUTED_VALUE"""),82.0)</f>
        <v>82</v>
      </c>
    </row>
    <row r="99">
      <c r="A99" s="41" t="s">
        <v>643</v>
      </c>
    </row>
    <row r="100">
      <c r="A100" s="12" t="s">
        <v>644</v>
      </c>
    </row>
    <row r="101">
      <c r="A101" s="46" t="s">
        <v>645</v>
      </c>
      <c r="B101" s="46" t="s">
        <v>646</v>
      </c>
      <c r="C101" s="46" t="s">
        <v>647</v>
      </c>
    </row>
    <row r="102">
      <c r="A102" s="12" t="s">
        <v>23</v>
      </c>
      <c r="B102" s="12" t="s">
        <v>15</v>
      </c>
      <c r="C102" s="12">
        <v>2.0</v>
      </c>
    </row>
    <row r="103">
      <c r="A103" s="12" t="s">
        <v>23</v>
      </c>
      <c r="B103" s="12" t="s">
        <v>11</v>
      </c>
      <c r="C103" s="12">
        <v>1.0</v>
      </c>
    </row>
    <row r="105">
      <c r="A105" s="46" t="s">
        <v>645</v>
      </c>
      <c r="B105" s="46" t="s">
        <v>646</v>
      </c>
    </row>
    <row r="106">
      <c r="A106" s="12" t="s">
        <v>23</v>
      </c>
      <c r="B106" s="12" t="s">
        <v>15</v>
      </c>
    </row>
    <row r="107">
      <c r="A107" s="12" t="s">
        <v>23</v>
      </c>
      <c r="B107" s="12" t="s">
        <v>15</v>
      </c>
    </row>
    <row r="108">
      <c r="A108" s="12" t="s">
        <v>23</v>
      </c>
      <c r="B108" s="12" t="s">
        <v>11</v>
      </c>
    </row>
    <row r="109">
      <c r="A109" s="12" t="s">
        <v>648</v>
      </c>
    </row>
    <row r="112">
      <c r="A112" s="30" t="s">
        <v>649</v>
      </c>
    </row>
    <row r="114">
      <c r="A114" s="12" t="s">
        <v>650</v>
      </c>
    </row>
    <row r="115">
      <c r="A115" s="22" t="str">
        <f>IFERROR(__xludf.DUMMYFUNCTION("QUERY('DATASET EDIT'!A:R,
""SELECT F, E, COUNT (F)
WHERE F IS NOT NULL AND L = 'Fare Increase'
GROUP BY F,E
ORDER BY COUNT (F) DESC
LIMIT 5
LABEL 
F 'Airline',
E 'Clasification',
COUNT (F) 'Total Loss Transactions'"",1)"),"Airline")</f>
        <v>Airline</v>
      </c>
      <c r="B115" s="22" t="str">
        <f>IFERROR(__xludf.DUMMYFUNCTION("""COMPUTED_VALUE"""),"Clasification")</f>
        <v>Clasification</v>
      </c>
      <c r="C115" s="22" t="str">
        <f>IFERROR(__xludf.DUMMYFUNCTION("""COMPUTED_VALUE"""),"Total Loss Transactions")</f>
        <v>Total Loss Transactions</v>
      </c>
    </row>
    <row r="116">
      <c r="A116" s="22" t="str">
        <f>IFERROR(__xludf.DUMMYFUNCTION("""COMPUTED_VALUE"""),"SL")</f>
        <v>SL</v>
      </c>
      <c r="B116" s="22" t="str">
        <f>IFERROR(__xludf.DUMMYFUNCTION("""COMPUTED_VALUE"""),"Domestic")</f>
        <v>Domestic</v>
      </c>
      <c r="C116" s="22">
        <f>IFERROR(__xludf.DUMMYFUNCTION("""COMPUTED_VALUE"""),23.0)</f>
        <v>23</v>
      </c>
    </row>
    <row r="117">
      <c r="A117" s="22" t="str">
        <f>IFERROR(__xludf.DUMMYFUNCTION("""COMPUTED_VALUE"""),"AK")</f>
        <v>AK</v>
      </c>
      <c r="B117" s="22" t="str">
        <f>IFERROR(__xludf.DUMMYFUNCTION("""COMPUTED_VALUE"""),"International")</f>
        <v>International</v>
      </c>
      <c r="C117" s="22">
        <f>IFERROR(__xludf.DUMMYFUNCTION("""COMPUTED_VALUE"""),22.0)</f>
        <v>22</v>
      </c>
    </row>
    <row r="118">
      <c r="A118" s="22" t="str">
        <f>IFERROR(__xludf.DUMMYFUNCTION("""COMPUTED_VALUE"""),"JT")</f>
        <v>JT</v>
      </c>
      <c r="B118" s="22" t="str">
        <f>IFERROR(__xludf.DUMMYFUNCTION("""COMPUTED_VALUE"""),"Domestic")</f>
        <v>Domestic</v>
      </c>
      <c r="C118" s="22">
        <f>IFERROR(__xludf.DUMMYFUNCTION("""COMPUTED_VALUE"""),21.0)</f>
        <v>21</v>
      </c>
    </row>
    <row r="119">
      <c r="A119" s="22" t="str">
        <f>IFERROR(__xludf.DUMMYFUNCTION("""COMPUTED_VALUE"""),"VN")</f>
        <v>VN</v>
      </c>
      <c r="B119" s="22" t="str">
        <f>IFERROR(__xludf.DUMMYFUNCTION("""COMPUTED_VALUE"""),"Domestic")</f>
        <v>Domestic</v>
      </c>
      <c r="C119" s="22">
        <f>IFERROR(__xludf.DUMMYFUNCTION("""COMPUTED_VALUE"""),19.0)</f>
        <v>19</v>
      </c>
    </row>
    <row r="120">
      <c r="A120" s="22" t="str">
        <f>IFERROR(__xludf.DUMMYFUNCTION("""COMPUTED_VALUE"""),"DD")</f>
        <v>DD</v>
      </c>
      <c r="B120" s="22" t="str">
        <f>IFERROR(__xludf.DUMMYFUNCTION("""COMPUTED_VALUE"""),"Domestic")</f>
        <v>Domestic</v>
      </c>
      <c r="C120" s="22">
        <f>IFERROR(__xludf.DUMMYFUNCTION("""COMPUTED_VALUE"""),18.0)</f>
        <v>18</v>
      </c>
    </row>
    <row r="122">
      <c r="G122" s="10"/>
    </row>
    <row r="123">
      <c r="A123" s="12" t="s">
        <v>651</v>
      </c>
      <c r="G123" s="10"/>
    </row>
    <row r="124">
      <c r="A124" s="22" t="str">
        <f>IFERROR(__xludf.DUMMYFUNCTION("QUERY('DATASET EDIT'!A:R,
""SELECT D, E, COUNT (D)
WHERE  D IS NOT NULL AND O = 'LOSS'
GROUP BY D, E
ORDER BY COUNT (D) DESC
LIMIT 5
LABEL 
D 'Route',
E 'Clasification',
COUNT (D) 'Total Loss Transactions'"", 1)"),"Route")</f>
        <v>Route</v>
      </c>
      <c r="B124" s="22" t="str">
        <f>IFERROR(__xludf.DUMMYFUNCTION("""COMPUTED_VALUE"""),"Clasification")</f>
        <v>Clasification</v>
      </c>
      <c r="C124" s="22" t="str">
        <f>IFERROR(__xludf.DUMMYFUNCTION("""COMPUTED_VALUE"""),"Total Loss Transactions")</f>
        <v>Total Loss Transactions</v>
      </c>
      <c r="G124" s="10"/>
    </row>
    <row r="125">
      <c r="A125" s="22" t="str">
        <f>IFERROR(__xludf.DUMMYFUNCTION("""COMPUTED_VALUE"""),"DMK-CNX")</f>
        <v>DMK-CNX</v>
      </c>
      <c r="B125" s="22" t="str">
        <f>IFERROR(__xludf.DUMMYFUNCTION("""COMPUTED_VALUE"""),"Domestic")</f>
        <v>Domestic</v>
      </c>
      <c r="C125" s="22">
        <f>IFERROR(__xludf.DUMMYFUNCTION("""COMPUTED_VALUE"""),52.0)</f>
        <v>52</v>
      </c>
      <c r="G125" s="10"/>
    </row>
    <row r="126">
      <c r="A126" s="22" t="str">
        <f>IFERROR(__xludf.DUMMYFUNCTION("""COMPUTED_VALUE"""),"SUB-SOQ")</f>
        <v>SUB-SOQ</v>
      </c>
      <c r="B126" s="22" t="str">
        <f>IFERROR(__xludf.DUMMYFUNCTION("""COMPUTED_VALUE"""),"Domestic")</f>
        <v>Domestic</v>
      </c>
      <c r="C126" s="22">
        <f>IFERROR(__xludf.DUMMYFUNCTION("""COMPUTED_VALUE"""),49.0)</f>
        <v>49</v>
      </c>
      <c r="G126" s="10"/>
      <c r="H126" s="10"/>
    </row>
    <row r="127">
      <c r="A127" s="22" t="str">
        <f>IFERROR(__xludf.DUMMYFUNCTION("""COMPUTED_VALUE"""),"SIN-CGK")</f>
        <v>SIN-CGK</v>
      </c>
      <c r="B127" s="22" t="str">
        <f>IFERROR(__xludf.DUMMYFUNCTION("""COMPUTED_VALUE"""),"International")</f>
        <v>International</v>
      </c>
      <c r="C127" s="22">
        <f>IFERROR(__xludf.DUMMYFUNCTION("""COMPUTED_VALUE"""),46.0)</f>
        <v>46</v>
      </c>
      <c r="G127" s="10"/>
      <c r="H127" s="10"/>
    </row>
    <row r="128">
      <c r="A128" s="22" t="str">
        <f>IFERROR(__xludf.DUMMYFUNCTION("""COMPUTED_VALUE"""),"CGK-DPS")</f>
        <v>CGK-DPS</v>
      </c>
      <c r="B128" s="22" t="str">
        <f>IFERROR(__xludf.DUMMYFUNCTION("""COMPUTED_VALUE"""),"Domestic")</f>
        <v>Domestic</v>
      </c>
      <c r="C128" s="22">
        <f>IFERROR(__xludf.DUMMYFUNCTION("""COMPUTED_VALUE"""),45.0)</f>
        <v>45</v>
      </c>
      <c r="G128" s="10"/>
      <c r="H128" s="10"/>
    </row>
    <row r="129">
      <c r="A129" s="22" t="str">
        <f>IFERROR(__xludf.DUMMYFUNCTION("""COMPUTED_VALUE"""),"SGN-HAN")</f>
        <v>SGN-HAN</v>
      </c>
      <c r="B129" s="22" t="str">
        <f>IFERROR(__xludf.DUMMYFUNCTION("""COMPUTED_VALUE"""),"Domestic")</f>
        <v>Domestic</v>
      </c>
      <c r="C129" s="22">
        <f>IFERROR(__xludf.DUMMYFUNCTION("""COMPUTED_VALUE"""),40.0)</f>
        <v>40</v>
      </c>
      <c r="G129" s="10"/>
      <c r="H129" s="10"/>
    </row>
    <row r="130">
      <c r="G130" s="10"/>
      <c r="H130" s="10"/>
    </row>
    <row r="132">
      <c r="A132" s="12" t="s">
        <v>652</v>
      </c>
    </row>
    <row r="133">
      <c r="A133" s="25" t="str">
        <f>IFERROR(__xludf.DUMMYFUNCTION("QUERY('DATASET EDIT'!A:R,
""SELECT F,
        COUNT(F),
        SUM(M),
        AVG(M)
 WHERE F IS NOT NULL
   AND L = 'Fare Increase'
 GROUP BY F
 ORDER BY SUM(M) DESC
 LIMIT 5
 LABEL
   F 'Airline',
   COUNT(F) 'Total Fare Increase Transactions',
   SUM"&amp;"(M) 'Total Profit Impact (Rp)',
   AVG(M) 'Avg Profit per Transaction (Rp)'"",1)
"),"Airline")</f>
        <v>Airline</v>
      </c>
      <c r="B133" s="25" t="str">
        <f>IFERROR(__xludf.DUMMYFUNCTION("""COMPUTED_VALUE"""),"Total Fare Increase Transactions")</f>
        <v>Total Fare Increase Transactions</v>
      </c>
      <c r="C133" s="24" t="str">
        <f>IFERROR(__xludf.DUMMYFUNCTION("""COMPUTED_VALUE"""),"Total Profit Impact (Rp)")</f>
        <v>Total Profit Impact (Rp)</v>
      </c>
      <c r="D133" s="25" t="str">
        <f>IFERROR(__xludf.DUMMYFUNCTION("""COMPUTED_VALUE"""),"Avg Profit per Transaction (Rp)")</f>
        <v>Avg Profit per Transaction (Rp)</v>
      </c>
    </row>
    <row r="134">
      <c r="A134" s="22" t="str">
        <f>IFERROR(__xludf.DUMMYFUNCTION("""COMPUTED_VALUE"""),"SL")</f>
        <v>SL</v>
      </c>
      <c r="B134" s="22">
        <f>IFERROR(__xludf.DUMMYFUNCTION("""COMPUTED_VALUE"""),38.0)</f>
        <v>38</v>
      </c>
      <c r="C134" s="29">
        <f>IFERROR(__xludf.DUMMYFUNCTION("""COMPUTED_VALUE"""),5.52683E7)</f>
        <v>55268300</v>
      </c>
      <c r="D134" s="29">
        <f>IFERROR(__xludf.DUMMYFUNCTION("""COMPUTED_VALUE"""),1454428.9473684211)</f>
        <v>1454428.947</v>
      </c>
    </row>
    <row r="135">
      <c r="A135" s="22" t="str">
        <f>IFERROR(__xludf.DUMMYFUNCTION("""COMPUTED_VALUE"""),"JT")</f>
        <v>JT</v>
      </c>
      <c r="B135" s="22">
        <f>IFERROR(__xludf.DUMMYFUNCTION("""COMPUTED_VALUE"""),39.0)</f>
        <v>39</v>
      </c>
      <c r="C135" s="29">
        <f>IFERROR(__xludf.DUMMYFUNCTION("""COMPUTED_VALUE"""),2.9610999999999993E7)</f>
        <v>29611000</v>
      </c>
      <c r="D135" s="29">
        <f>IFERROR(__xludf.DUMMYFUNCTION("""COMPUTED_VALUE"""),759256.41025641)</f>
        <v>759256.4103</v>
      </c>
    </row>
    <row r="136">
      <c r="A136" s="22" t="str">
        <f>IFERROR(__xludf.DUMMYFUNCTION("""COMPUTED_VALUE"""),"VN")</f>
        <v>VN</v>
      </c>
      <c r="B136" s="22">
        <f>IFERROR(__xludf.DUMMYFUNCTION("""COMPUTED_VALUE"""),19.0)</f>
        <v>19</v>
      </c>
      <c r="C136" s="29">
        <f>IFERROR(__xludf.DUMMYFUNCTION("""COMPUTED_VALUE"""),2.1384499999999993E7)</f>
        <v>21384500</v>
      </c>
      <c r="D136" s="29">
        <f>IFERROR(__xludf.DUMMYFUNCTION("""COMPUTED_VALUE"""),1125499.9999999995)</f>
        <v>1125500</v>
      </c>
    </row>
    <row r="137">
      <c r="A137" s="22" t="str">
        <f>IFERROR(__xludf.DUMMYFUNCTION("""COMPUTED_VALUE"""),"AK")</f>
        <v>AK</v>
      </c>
      <c r="B137" s="22">
        <f>IFERROR(__xludf.DUMMYFUNCTION("""COMPUTED_VALUE"""),26.0)</f>
        <v>26</v>
      </c>
      <c r="C137" s="29">
        <f>IFERROR(__xludf.DUMMYFUNCTION("""COMPUTED_VALUE"""),1.9910149999999993E7)</f>
        <v>19910150</v>
      </c>
      <c r="D137" s="29">
        <f>IFERROR(__xludf.DUMMYFUNCTION("""COMPUTED_VALUE"""),765774.9999999998)</f>
        <v>765775</v>
      </c>
    </row>
    <row r="138">
      <c r="A138" s="22" t="str">
        <f>IFERROR(__xludf.DUMMYFUNCTION("""COMPUTED_VALUE"""),"GA")</f>
        <v>GA</v>
      </c>
      <c r="B138" s="22">
        <f>IFERROR(__xludf.DUMMYFUNCTION("""COMPUTED_VALUE"""),15.0)</f>
        <v>15</v>
      </c>
      <c r="C138" s="29">
        <f>IFERROR(__xludf.DUMMYFUNCTION("""COMPUTED_VALUE"""),1.8678049999999993E7)</f>
        <v>18678050</v>
      </c>
      <c r="D138" s="29">
        <f>IFERROR(__xludf.DUMMYFUNCTION("""COMPUTED_VALUE"""),1245203.3333333328)</f>
        <v>1245203.333</v>
      </c>
    </row>
    <row r="140">
      <c r="A140" s="47" t="str">
        <f>IFERROR(__xludf.DUMMYFUNCTION("QUERY('DATASET EDIT'!A:R,
 ""SELECT F,
         SUM(M)
  WHERE F IS NOT NULL
    AND L = 'Fare Increase'
  GROUP BY F
  ORDER BY SUM(M) DESC
  LIMIT 5
  LABEL
    F 'Airline',
    SUM(M) 'Total Profit Impact (Rp)'"",1)
"),"Airline")</f>
        <v>Airline</v>
      </c>
      <c r="B140" s="47" t="str">
        <f>IFERROR(__xludf.DUMMYFUNCTION("""COMPUTED_VALUE"""),"Total Profit Impact (Rp)")</f>
        <v>Total Profit Impact (Rp)</v>
      </c>
    </row>
    <row r="141">
      <c r="A141" s="47" t="str">
        <f>IFERROR(__xludf.DUMMYFUNCTION("""COMPUTED_VALUE"""),"SL")</f>
        <v>SL</v>
      </c>
      <c r="B141" s="47">
        <f>IFERROR(__xludf.DUMMYFUNCTION("""COMPUTED_VALUE"""),5.52683E7)</f>
        <v>55268300</v>
      </c>
    </row>
    <row r="142">
      <c r="A142" s="47" t="str">
        <f>IFERROR(__xludf.DUMMYFUNCTION("""COMPUTED_VALUE"""),"JT")</f>
        <v>JT</v>
      </c>
      <c r="B142" s="47">
        <f>IFERROR(__xludf.DUMMYFUNCTION("""COMPUTED_VALUE"""),2.9610999999999993E7)</f>
        <v>29611000</v>
      </c>
    </row>
    <row r="143">
      <c r="A143" s="47" t="str">
        <f>IFERROR(__xludf.DUMMYFUNCTION("""COMPUTED_VALUE"""),"VN")</f>
        <v>VN</v>
      </c>
      <c r="B143" s="47">
        <f>IFERROR(__xludf.DUMMYFUNCTION("""COMPUTED_VALUE"""),2.1384499999999993E7)</f>
        <v>21384500</v>
      </c>
    </row>
    <row r="144">
      <c r="A144" s="47" t="str">
        <f>IFERROR(__xludf.DUMMYFUNCTION("""COMPUTED_VALUE"""),"AK")</f>
        <v>AK</v>
      </c>
      <c r="B144" s="47">
        <f>IFERROR(__xludf.DUMMYFUNCTION("""COMPUTED_VALUE"""),1.9910149999999993E7)</f>
        <v>19910150</v>
      </c>
    </row>
    <row r="145">
      <c r="A145" s="47" t="str">
        <f>IFERROR(__xludf.DUMMYFUNCTION("""COMPUTED_VALUE"""),"GA")</f>
        <v>GA</v>
      </c>
      <c r="B145" s="47">
        <f>IFERROR(__xludf.DUMMYFUNCTION("""COMPUTED_VALUE"""),1.8678049999999993E7)</f>
        <v>18678050</v>
      </c>
    </row>
  </sheetData>
  <mergeCells count="15">
    <mergeCell ref="A66:B66"/>
    <mergeCell ref="A84:B84"/>
    <mergeCell ref="F85:I87"/>
    <mergeCell ref="A90:B90"/>
    <mergeCell ref="A99:C99"/>
    <mergeCell ref="A114:B114"/>
    <mergeCell ref="A123:B123"/>
    <mergeCell ref="A132:B132"/>
    <mergeCell ref="A3:D3"/>
    <mergeCell ref="A5:B5"/>
    <mergeCell ref="G5:H12"/>
    <mergeCell ref="A13:B13"/>
    <mergeCell ref="A40:B40"/>
    <mergeCell ref="L48:P52"/>
    <mergeCell ref="A64:B64"/>
  </mergeCell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653</v>
      </c>
      <c r="B1" s="48" t="s">
        <v>654</v>
      </c>
      <c r="C1" s="48" t="s">
        <v>655</v>
      </c>
      <c r="D1" s="48" t="s">
        <v>656</v>
      </c>
    </row>
    <row r="2">
      <c r="A2" s="48" t="s">
        <v>657</v>
      </c>
      <c r="B2" s="49" t="s">
        <v>658</v>
      </c>
      <c r="C2" s="49" t="s">
        <v>659</v>
      </c>
      <c r="D2" s="49" t="s">
        <v>35</v>
      </c>
    </row>
    <row r="3">
      <c r="A3" s="48" t="s">
        <v>660</v>
      </c>
      <c r="B3" s="49" t="s">
        <v>661</v>
      </c>
      <c r="C3" s="49" t="s">
        <v>662</v>
      </c>
      <c r="D3" s="49" t="s">
        <v>663</v>
      </c>
    </row>
    <row r="4">
      <c r="A4" s="48" t="s">
        <v>664</v>
      </c>
      <c r="B4" s="49" t="s">
        <v>665</v>
      </c>
      <c r="C4" s="49" t="s">
        <v>666</v>
      </c>
      <c r="D4" s="49" t="s">
        <v>667</v>
      </c>
    </row>
    <row r="5">
      <c r="A5" s="48" t="s">
        <v>668</v>
      </c>
      <c r="B5" s="49" t="s">
        <v>669</v>
      </c>
      <c r="C5" s="49" t="s">
        <v>670</v>
      </c>
      <c r="D5" s="49" t="s">
        <v>671</v>
      </c>
    </row>
    <row r="6">
      <c r="A6" s="48" t="s">
        <v>672</v>
      </c>
      <c r="B6" s="49" t="s">
        <v>673</v>
      </c>
      <c r="C6" s="49" t="s">
        <v>674</v>
      </c>
      <c r="D6" s="49" t="s">
        <v>675</v>
      </c>
    </row>
    <row r="7">
      <c r="A7" s="48" t="s">
        <v>676</v>
      </c>
      <c r="B7" s="49" t="s">
        <v>677</v>
      </c>
      <c r="C7" s="49" t="s">
        <v>659</v>
      </c>
      <c r="D7" s="49" t="s">
        <v>35</v>
      </c>
    </row>
    <row r="8">
      <c r="A8" s="48" t="s">
        <v>678</v>
      </c>
      <c r="B8" s="49" t="s">
        <v>679</v>
      </c>
      <c r="C8" s="49" t="s">
        <v>680</v>
      </c>
      <c r="D8" s="49" t="s">
        <v>681</v>
      </c>
    </row>
    <row r="9">
      <c r="A9" s="48" t="s">
        <v>682</v>
      </c>
      <c r="B9" s="49" t="s">
        <v>683</v>
      </c>
      <c r="C9" s="49" t="s">
        <v>684</v>
      </c>
      <c r="D9" s="49" t="s">
        <v>685</v>
      </c>
    </row>
    <row r="10">
      <c r="A10" s="48" t="s">
        <v>686</v>
      </c>
      <c r="B10" s="49" t="s">
        <v>687</v>
      </c>
      <c r="C10" s="49" t="s">
        <v>674</v>
      </c>
      <c r="D10" s="49" t="s">
        <v>675</v>
      </c>
    </row>
    <row r="11">
      <c r="A11" s="48" t="s">
        <v>688</v>
      </c>
      <c r="B11" s="49" t="s">
        <v>689</v>
      </c>
      <c r="C11" s="49" t="s">
        <v>690</v>
      </c>
      <c r="D11" s="49" t="s">
        <v>691</v>
      </c>
    </row>
    <row r="12">
      <c r="A12" s="48" t="s">
        <v>692</v>
      </c>
      <c r="B12" s="49" t="s">
        <v>693</v>
      </c>
      <c r="C12" s="49" t="s">
        <v>659</v>
      </c>
      <c r="D12" s="49" t="s">
        <v>35</v>
      </c>
    </row>
    <row r="13">
      <c r="A13" s="48" t="s">
        <v>694</v>
      </c>
      <c r="B13" s="49" t="s">
        <v>695</v>
      </c>
      <c r="C13" s="49" t="s">
        <v>696</v>
      </c>
      <c r="D13" s="49" t="s">
        <v>697</v>
      </c>
    </row>
    <row r="14">
      <c r="A14" s="48" t="s">
        <v>698</v>
      </c>
      <c r="B14" s="49" t="s">
        <v>699</v>
      </c>
      <c r="C14" s="49" t="s">
        <v>659</v>
      </c>
      <c r="D14" s="49" t="s">
        <v>35</v>
      </c>
    </row>
    <row r="15">
      <c r="A15" s="48" t="s">
        <v>700</v>
      </c>
      <c r="B15" s="49" t="s">
        <v>701</v>
      </c>
      <c r="C15" s="49" t="s">
        <v>680</v>
      </c>
      <c r="D15" s="49" t="s">
        <v>681</v>
      </c>
    </row>
    <row r="16">
      <c r="A16" s="48" t="s">
        <v>702</v>
      </c>
      <c r="B16" s="49" t="s">
        <v>703</v>
      </c>
      <c r="C16" s="49" t="s">
        <v>696</v>
      </c>
      <c r="D16" s="49" t="s">
        <v>697</v>
      </c>
    </row>
    <row r="17">
      <c r="A17" s="48" t="s">
        <v>704</v>
      </c>
      <c r="B17" s="49" t="s">
        <v>705</v>
      </c>
      <c r="C17" s="49" t="s">
        <v>662</v>
      </c>
      <c r="D17" s="49" t="s">
        <v>663</v>
      </c>
    </row>
    <row r="18">
      <c r="A18" s="48" t="s">
        <v>706</v>
      </c>
      <c r="B18" s="49" t="s">
        <v>707</v>
      </c>
      <c r="C18" s="49" t="s">
        <v>659</v>
      </c>
      <c r="D18" s="49" t="s">
        <v>35</v>
      </c>
    </row>
    <row r="19">
      <c r="A19" s="48" t="s">
        <v>708</v>
      </c>
      <c r="B19" s="49" t="s">
        <v>709</v>
      </c>
      <c r="C19" s="49" t="s">
        <v>659</v>
      </c>
      <c r="D19" s="49" t="s">
        <v>35</v>
      </c>
    </row>
    <row r="20">
      <c r="A20" s="48" t="s">
        <v>710</v>
      </c>
      <c r="B20" s="49" t="s">
        <v>711</v>
      </c>
      <c r="C20" s="49" t="s">
        <v>659</v>
      </c>
      <c r="D20" s="49" t="s">
        <v>35</v>
      </c>
    </row>
    <row r="21">
      <c r="A21" s="48" t="s">
        <v>712</v>
      </c>
      <c r="B21" s="49" t="s">
        <v>713</v>
      </c>
      <c r="C21" s="49" t="s">
        <v>680</v>
      </c>
      <c r="D21" s="49" t="s">
        <v>681</v>
      </c>
    </row>
    <row r="22">
      <c r="A22" s="48" t="s">
        <v>714</v>
      </c>
      <c r="B22" s="49" t="s">
        <v>715</v>
      </c>
      <c r="C22" s="49" t="s">
        <v>716</v>
      </c>
      <c r="D22" s="49" t="s">
        <v>717</v>
      </c>
    </row>
    <row r="23">
      <c r="A23" s="48" t="s">
        <v>718</v>
      </c>
      <c r="B23" s="49" t="s">
        <v>719</v>
      </c>
      <c r="C23" s="49" t="s">
        <v>690</v>
      </c>
      <c r="D23" s="49" t="s">
        <v>691</v>
      </c>
    </row>
    <row r="24">
      <c r="A24" s="48" t="s">
        <v>720</v>
      </c>
      <c r="B24" s="49" t="s">
        <v>721</v>
      </c>
      <c r="C24" s="49" t="s">
        <v>722</v>
      </c>
      <c r="D24" s="49" t="s">
        <v>723</v>
      </c>
    </row>
    <row r="25">
      <c r="A25" s="48" t="s">
        <v>724</v>
      </c>
      <c r="B25" s="49" t="s">
        <v>725</v>
      </c>
      <c r="C25" s="49" t="s">
        <v>674</v>
      </c>
      <c r="D25" s="49" t="s">
        <v>675</v>
      </c>
    </row>
    <row r="26">
      <c r="A26" s="48" t="s">
        <v>726</v>
      </c>
      <c r="B26" s="49" t="s">
        <v>727</v>
      </c>
      <c r="C26" s="49" t="s">
        <v>690</v>
      </c>
      <c r="D26" s="49" t="s">
        <v>691</v>
      </c>
    </row>
    <row r="27">
      <c r="A27" s="48" t="s">
        <v>728</v>
      </c>
      <c r="B27" s="49" t="s">
        <v>729</v>
      </c>
      <c r="C27" s="49" t="s">
        <v>696</v>
      </c>
      <c r="D27" s="49" t="s">
        <v>697</v>
      </c>
    </row>
    <row r="28">
      <c r="A28" s="48" t="s">
        <v>730</v>
      </c>
      <c r="B28" s="49" t="s">
        <v>731</v>
      </c>
      <c r="C28" s="49" t="s">
        <v>659</v>
      </c>
      <c r="D28" s="49" t="s">
        <v>35</v>
      </c>
    </row>
    <row r="29">
      <c r="A29" s="48" t="s">
        <v>732</v>
      </c>
      <c r="B29" s="49" t="s">
        <v>733</v>
      </c>
      <c r="C29" s="49" t="s">
        <v>690</v>
      </c>
      <c r="D29" s="49" t="s">
        <v>691</v>
      </c>
    </row>
    <row r="30">
      <c r="A30" s="48" t="s">
        <v>734</v>
      </c>
      <c r="B30" s="49" t="s">
        <v>735</v>
      </c>
      <c r="C30" s="49" t="s">
        <v>666</v>
      </c>
      <c r="D30" s="49" t="s">
        <v>667</v>
      </c>
    </row>
    <row r="31">
      <c r="A31" s="48" t="s">
        <v>736</v>
      </c>
      <c r="B31" s="49" t="s">
        <v>737</v>
      </c>
      <c r="C31" s="49" t="s">
        <v>696</v>
      </c>
      <c r="D31" s="49" t="s">
        <v>697</v>
      </c>
    </row>
    <row r="32">
      <c r="A32" s="48" t="s">
        <v>738</v>
      </c>
      <c r="B32" s="49" t="s">
        <v>739</v>
      </c>
      <c r="C32" s="49" t="s">
        <v>740</v>
      </c>
      <c r="D32" s="49" t="s">
        <v>741</v>
      </c>
    </row>
    <row r="33">
      <c r="A33" s="48" t="s">
        <v>742</v>
      </c>
      <c r="B33" s="49" t="s">
        <v>743</v>
      </c>
      <c r="C33" s="49" t="s">
        <v>744</v>
      </c>
      <c r="D33" s="49" t="s">
        <v>745</v>
      </c>
    </row>
    <row r="34">
      <c r="A34" s="48" t="s">
        <v>746</v>
      </c>
      <c r="B34" s="49" t="s">
        <v>747</v>
      </c>
      <c r="C34" s="49" t="s">
        <v>748</v>
      </c>
      <c r="D34" s="49" t="s">
        <v>749</v>
      </c>
    </row>
    <row r="35">
      <c r="A35" s="48" t="s">
        <v>750</v>
      </c>
      <c r="B35" s="49" t="s">
        <v>751</v>
      </c>
      <c r="C35" s="49" t="s">
        <v>662</v>
      </c>
      <c r="D35" s="49" t="s">
        <v>663</v>
      </c>
    </row>
    <row r="36">
      <c r="A36" s="48" t="s">
        <v>752</v>
      </c>
      <c r="B36" s="49" t="s">
        <v>753</v>
      </c>
      <c r="C36" s="49" t="s">
        <v>696</v>
      </c>
      <c r="D36" s="49" t="s">
        <v>697</v>
      </c>
    </row>
    <row r="37">
      <c r="A37" s="48" t="s">
        <v>754</v>
      </c>
      <c r="B37" s="49" t="s">
        <v>755</v>
      </c>
      <c r="C37" s="49" t="s">
        <v>674</v>
      </c>
      <c r="D37" s="49" t="s">
        <v>675</v>
      </c>
    </row>
    <row r="38">
      <c r="A38" s="48" t="s">
        <v>756</v>
      </c>
      <c r="B38" s="49" t="s">
        <v>757</v>
      </c>
      <c r="C38" s="49" t="s">
        <v>758</v>
      </c>
      <c r="D38" s="49" t="s">
        <v>42</v>
      </c>
    </row>
    <row r="39">
      <c r="A39" s="48" t="s">
        <v>759</v>
      </c>
      <c r="B39" s="49" t="s">
        <v>760</v>
      </c>
      <c r="C39" s="49" t="s">
        <v>758</v>
      </c>
      <c r="D39" s="49" t="s">
        <v>42</v>
      </c>
    </row>
    <row r="40">
      <c r="A40" s="48" t="s">
        <v>761</v>
      </c>
      <c r="B40" s="49" t="s">
        <v>762</v>
      </c>
      <c r="C40" s="49" t="s">
        <v>674</v>
      </c>
      <c r="D40" s="49" t="s">
        <v>675</v>
      </c>
    </row>
    <row r="41">
      <c r="A41" s="48" t="s">
        <v>763</v>
      </c>
      <c r="B41" s="49" t="s">
        <v>764</v>
      </c>
      <c r="C41" s="49" t="s">
        <v>690</v>
      </c>
      <c r="D41" s="49" t="s">
        <v>691</v>
      </c>
    </row>
    <row r="42">
      <c r="A42" s="48" t="s">
        <v>765</v>
      </c>
      <c r="B42" s="49" t="s">
        <v>766</v>
      </c>
      <c r="C42" s="49" t="s">
        <v>767</v>
      </c>
      <c r="D42" s="49" t="s">
        <v>768</v>
      </c>
    </row>
    <row r="43">
      <c r="A43" s="48" t="s">
        <v>769</v>
      </c>
      <c r="B43" s="49" t="s">
        <v>770</v>
      </c>
      <c r="C43" s="49" t="s">
        <v>659</v>
      </c>
      <c r="D43" s="49" t="s">
        <v>35</v>
      </c>
    </row>
    <row r="44">
      <c r="A44" s="48" t="s">
        <v>771</v>
      </c>
      <c r="B44" s="49" t="s">
        <v>772</v>
      </c>
      <c r="C44" s="49" t="s">
        <v>659</v>
      </c>
      <c r="D44" s="49" t="s">
        <v>35</v>
      </c>
    </row>
    <row r="45">
      <c r="A45" s="48" t="s">
        <v>773</v>
      </c>
      <c r="B45" s="49" t="s">
        <v>774</v>
      </c>
      <c r="C45" s="49" t="s">
        <v>758</v>
      </c>
      <c r="D45" s="49" t="s">
        <v>42</v>
      </c>
    </row>
    <row r="46">
      <c r="A46" s="48" t="s">
        <v>775</v>
      </c>
      <c r="B46" s="49" t="s">
        <v>776</v>
      </c>
      <c r="C46" s="49" t="s">
        <v>696</v>
      </c>
      <c r="D46" s="49" t="s">
        <v>697</v>
      </c>
    </row>
    <row r="47">
      <c r="A47" s="48" t="s">
        <v>777</v>
      </c>
      <c r="B47" s="49" t="s">
        <v>778</v>
      </c>
      <c r="C47" s="49" t="s">
        <v>659</v>
      </c>
      <c r="D47" s="49" t="s">
        <v>35</v>
      </c>
    </row>
    <row r="48">
      <c r="A48" s="48" t="s">
        <v>779</v>
      </c>
      <c r="B48" s="49" t="s">
        <v>780</v>
      </c>
      <c r="C48" s="49" t="s">
        <v>662</v>
      </c>
      <c r="D48" s="49" t="s">
        <v>663</v>
      </c>
    </row>
    <row r="49">
      <c r="A49" s="48" t="s">
        <v>781</v>
      </c>
      <c r="B49" s="49" t="s">
        <v>782</v>
      </c>
      <c r="C49" s="49" t="s">
        <v>783</v>
      </c>
      <c r="D49" s="49" t="s">
        <v>783</v>
      </c>
    </row>
    <row r="50">
      <c r="A50" s="48" t="s">
        <v>784</v>
      </c>
      <c r="B50" s="49" t="s">
        <v>785</v>
      </c>
      <c r="C50" s="49" t="s">
        <v>690</v>
      </c>
      <c r="D50" s="49" t="s">
        <v>691</v>
      </c>
    </row>
    <row r="51">
      <c r="A51" s="48" t="s">
        <v>786</v>
      </c>
      <c r="B51" s="49" t="s">
        <v>787</v>
      </c>
      <c r="C51" s="49" t="s">
        <v>659</v>
      </c>
      <c r="D51" s="49" t="s">
        <v>35</v>
      </c>
    </row>
    <row r="52">
      <c r="A52" s="48" t="s">
        <v>788</v>
      </c>
      <c r="B52" s="49" t="s">
        <v>789</v>
      </c>
      <c r="C52" s="49" t="s">
        <v>790</v>
      </c>
      <c r="D52" s="49" t="s">
        <v>791</v>
      </c>
    </row>
    <row r="53">
      <c r="A53" s="48" t="s">
        <v>792</v>
      </c>
      <c r="B53" s="49" t="s">
        <v>793</v>
      </c>
      <c r="C53" s="49" t="s">
        <v>674</v>
      </c>
      <c r="D53" s="49" t="s">
        <v>675</v>
      </c>
    </row>
    <row r="54">
      <c r="A54" s="48" t="s">
        <v>794</v>
      </c>
      <c r="B54" s="49" t="s">
        <v>795</v>
      </c>
      <c r="C54" s="49" t="s">
        <v>690</v>
      </c>
      <c r="D54" s="49" t="s">
        <v>691</v>
      </c>
    </row>
    <row r="55">
      <c r="A55" s="48" t="s">
        <v>796</v>
      </c>
      <c r="B55" s="49" t="s">
        <v>797</v>
      </c>
      <c r="C55" s="49" t="s">
        <v>659</v>
      </c>
      <c r="D55" s="49" t="s">
        <v>35</v>
      </c>
    </row>
    <row r="56">
      <c r="A56" s="48" t="s">
        <v>798</v>
      </c>
      <c r="B56" s="49" t="s">
        <v>799</v>
      </c>
      <c r="C56" s="49" t="s">
        <v>722</v>
      </c>
      <c r="D56" s="49" t="s">
        <v>723</v>
      </c>
    </row>
    <row r="57">
      <c r="A57" s="48" t="s">
        <v>800</v>
      </c>
      <c r="B57" s="49" t="s">
        <v>801</v>
      </c>
      <c r="C57" s="49" t="s">
        <v>758</v>
      </c>
      <c r="D57" s="49" t="s">
        <v>42</v>
      </c>
    </row>
    <row r="58">
      <c r="A58" s="48" t="s">
        <v>802</v>
      </c>
      <c r="B58" s="49" t="s">
        <v>803</v>
      </c>
      <c r="C58" s="49" t="s">
        <v>662</v>
      </c>
      <c r="D58" s="49" t="s">
        <v>663</v>
      </c>
    </row>
    <row r="59">
      <c r="A59" s="48" t="s">
        <v>804</v>
      </c>
      <c r="B59" s="49" t="s">
        <v>805</v>
      </c>
      <c r="C59" s="49" t="s">
        <v>696</v>
      </c>
      <c r="D59" s="49" t="s">
        <v>697</v>
      </c>
    </row>
    <row r="60">
      <c r="A60" s="48" t="s">
        <v>806</v>
      </c>
      <c r="B60" s="49" t="s">
        <v>807</v>
      </c>
      <c r="C60" s="49" t="s">
        <v>722</v>
      </c>
      <c r="D60" s="49" t="s">
        <v>723</v>
      </c>
    </row>
    <row r="61">
      <c r="A61" s="48" t="s">
        <v>808</v>
      </c>
      <c r="B61" s="49" t="s">
        <v>809</v>
      </c>
      <c r="C61" s="49" t="s">
        <v>696</v>
      </c>
      <c r="D61" s="49" t="s">
        <v>697</v>
      </c>
    </row>
    <row r="62">
      <c r="A62" s="48" t="s">
        <v>810</v>
      </c>
      <c r="B62" s="49" t="s">
        <v>811</v>
      </c>
      <c r="C62" s="49" t="s">
        <v>811</v>
      </c>
      <c r="D62" s="49" t="s">
        <v>812</v>
      </c>
    </row>
    <row r="63">
      <c r="A63" s="48" t="s">
        <v>813</v>
      </c>
      <c r="B63" s="49" t="s">
        <v>814</v>
      </c>
      <c r="C63" s="49" t="s">
        <v>696</v>
      </c>
      <c r="D63" s="49" t="s">
        <v>697</v>
      </c>
    </row>
    <row r="64">
      <c r="A64" s="48" t="s">
        <v>815</v>
      </c>
      <c r="B64" s="49" t="s">
        <v>816</v>
      </c>
      <c r="C64" s="49" t="s">
        <v>659</v>
      </c>
      <c r="D64" s="49" t="s">
        <v>35</v>
      </c>
    </row>
    <row r="65">
      <c r="A65" s="48" t="s">
        <v>817</v>
      </c>
      <c r="B65" s="49" t="s">
        <v>818</v>
      </c>
      <c r="C65" s="49" t="s">
        <v>790</v>
      </c>
      <c r="D65" s="49" t="s">
        <v>791</v>
      </c>
    </row>
    <row r="66">
      <c r="A66" s="48" t="s">
        <v>819</v>
      </c>
      <c r="B66" s="49" t="s">
        <v>820</v>
      </c>
      <c r="C66" s="49" t="s">
        <v>758</v>
      </c>
      <c r="D66" s="49" t="s">
        <v>42</v>
      </c>
    </row>
    <row r="67">
      <c r="A67" s="48" t="s">
        <v>821</v>
      </c>
      <c r="B67" s="49" t="s">
        <v>822</v>
      </c>
      <c r="C67" s="49" t="s">
        <v>758</v>
      </c>
      <c r="D67" s="49" t="s">
        <v>42</v>
      </c>
    </row>
    <row r="68">
      <c r="A68" s="48" t="s">
        <v>823</v>
      </c>
      <c r="B68" s="49" t="s">
        <v>824</v>
      </c>
      <c r="C68" s="49" t="s">
        <v>740</v>
      </c>
      <c r="D68" s="49" t="s">
        <v>741</v>
      </c>
    </row>
    <row r="69">
      <c r="A69" s="48" t="s">
        <v>825</v>
      </c>
      <c r="B69" s="49" t="s">
        <v>826</v>
      </c>
      <c r="C69" s="49" t="s">
        <v>690</v>
      </c>
      <c r="D69" s="49" t="s">
        <v>691</v>
      </c>
    </row>
    <row r="70">
      <c r="A70" s="48" t="s">
        <v>827</v>
      </c>
      <c r="B70" s="49" t="s">
        <v>828</v>
      </c>
      <c r="C70" s="49" t="s">
        <v>680</v>
      </c>
      <c r="D70" s="49" t="s">
        <v>681</v>
      </c>
    </row>
    <row r="71">
      <c r="A71" s="48" t="s">
        <v>829</v>
      </c>
      <c r="B71" s="49" t="s">
        <v>830</v>
      </c>
      <c r="C71" s="49" t="s">
        <v>659</v>
      </c>
      <c r="D71" s="49" t="s">
        <v>35</v>
      </c>
    </row>
    <row r="72">
      <c r="A72" s="48" t="s">
        <v>831</v>
      </c>
      <c r="B72" s="49" t="s">
        <v>832</v>
      </c>
      <c r="C72" s="49" t="s">
        <v>680</v>
      </c>
      <c r="D72" s="49" t="s">
        <v>681</v>
      </c>
    </row>
    <row r="73">
      <c r="A73" s="48" t="s">
        <v>833</v>
      </c>
      <c r="B73" s="49" t="s">
        <v>834</v>
      </c>
      <c r="C73" s="49" t="s">
        <v>696</v>
      </c>
      <c r="D73" s="49" t="s">
        <v>697</v>
      </c>
    </row>
    <row r="74">
      <c r="A74" s="48" t="s">
        <v>835</v>
      </c>
      <c r="B74" s="49" t="s">
        <v>836</v>
      </c>
      <c r="C74" s="49" t="s">
        <v>680</v>
      </c>
      <c r="D74" s="49" t="s">
        <v>681</v>
      </c>
    </row>
    <row r="75">
      <c r="A75" s="48" t="s">
        <v>837</v>
      </c>
      <c r="B75" s="49" t="s">
        <v>838</v>
      </c>
      <c r="C75" s="49" t="s">
        <v>659</v>
      </c>
      <c r="D75" s="49" t="s">
        <v>35</v>
      </c>
    </row>
    <row r="76">
      <c r="A76" s="48" t="s">
        <v>839</v>
      </c>
      <c r="B76" s="49" t="s">
        <v>840</v>
      </c>
      <c r="C76" s="49" t="s">
        <v>841</v>
      </c>
      <c r="D76" s="49" t="s">
        <v>842</v>
      </c>
    </row>
    <row r="77">
      <c r="A77" s="48" t="s">
        <v>843</v>
      </c>
      <c r="B77" s="49" t="s">
        <v>844</v>
      </c>
      <c r="C77" s="49" t="s">
        <v>790</v>
      </c>
      <c r="D77" s="49" t="s">
        <v>791</v>
      </c>
    </row>
    <row r="78">
      <c r="A78" s="48" t="s">
        <v>845</v>
      </c>
      <c r="B78" s="49" t="s">
        <v>846</v>
      </c>
      <c r="C78" s="49" t="s">
        <v>696</v>
      </c>
      <c r="D78" s="49" t="s">
        <v>697</v>
      </c>
    </row>
    <row r="79">
      <c r="A79" s="48" t="s">
        <v>847</v>
      </c>
      <c r="B79" s="49" t="s">
        <v>848</v>
      </c>
      <c r="C79" s="49" t="s">
        <v>690</v>
      </c>
      <c r="D79" s="49" t="s">
        <v>691</v>
      </c>
    </row>
    <row r="80">
      <c r="A80" s="48" t="s">
        <v>849</v>
      </c>
      <c r="B80" s="49" t="s">
        <v>850</v>
      </c>
      <c r="C80" s="49" t="s">
        <v>722</v>
      </c>
      <c r="D80" s="49" t="s">
        <v>723</v>
      </c>
    </row>
    <row r="81">
      <c r="A81" s="48" t="s">
        <v>851</v>
      </c>
      <c r="B81" s="49" t="s">
        <v>852</v>
      </c>
      <c r="C81" s="49" t="s">
        <v>659</v>
      </c>
      <c r="D81" s="49" t="s">
        <v>35</v>
      </c>
    </row>
    <row r="82">
      <c r="A82" s="48" t="s">
        <v>853</v>
      </c>
      <c r="B82" s="49" t="s">
        <v>854</v>
      </c>
      <c r="C82" s="49" t="s">
        <v>659</v>
      </c>
      <c r="D82" s="49" t="s">
        <v>35</v>
      </c>
    </row>
    <row r="83">
      <c r="A83" s="48" t="s">
        <v>855</v>
      </c>
      <c r="B83" s="49" t="s">
        <v>856</v>
      </c>
      <c r="C83" s="49" t="s">
        <v>696</v>
      </c>
      <c r="D83" s="49" t="s">
        <v>697</v>
      </c>
    </row>
    <row r="84">
      <c r="A84" s="48" t="s">
        <v>857</v>
      </c>
      <c r="B84" s="49" t="s">
        <v>858</v>
      </c>
      <c r="C84" s="49" t="s">
        <v>859</v>
      </c>
      <c r="D84" s="49" t="s">
        <v>860</v>
      </c>
    </row>
    <row r="85">
      <c r="A85" s="48" t="s">
        <v>861</v>
      </c>
      <c r="B85" s="49" t="s">
        <v>862</v>
      </c>
      <c r="C85" s="49" t="s">
        <v>680</v>
      </c>
      <c r="D85" s="49" t="s">
        <v>681</v>
      </c>
    </row>
    <row r="86">
      <c r="A86" s="48" t="s">
        <v>863</v>
      </c>
      <c r="B86" s="49" t="s">
        <v>864</v>
      </c>
      <c r="C86" s="49" t="s">
        <v>865</v>
      </c>
      <c r="D86" s="49" t="s">
        <v>866</v>
      </c>
    </row>
    <row r="87">
      <c r="A87" s="48" t="s">
        <v>867</v>
      </c>
      <c r="B87" s="49" t="s">
        <v>868</v>
      </c>
      <c r="C87" s="49" t="s">
        <v>659</v>
      </c>
      <c r="D87" s="49" t="s">
        <v>35</v>
      </c>
    </row>
    <row r="88">
      <c r="A88" s="48" t="s">
        <v>869</v>
      </c>
      <c r="B88" s="49" t="s">
        <v>870</v>
      </c>
      <c r="C88" s="49" t="s">
        <v>680</v>
      </c>
      <c r="D88" s="49" t="s">
        <v>681</v>
      </c>
    </row>
    <row r="89">
      <c r="A89" s="48" t="s">
        <v>871</v>
      </c>
      <c r="B89" s="49" t="s">
        <v>872</v>
      </c>
      <c r="C89" s="49" t="s">
        <v>659</v>
      </c>
      <c r="D89" s="49" t="s">
        <v>35</v>
      </c>
    </row>
    <row r="90">
      <c r="A90" s="48" t="s">
        <v>873</v>
      </c>
      <c r="B90" s="49" t="s">
        <v>874</v>
      </c>
      <c r="C90" s="49" t="s">
        <v>875</v>
      </c>
      <c r="D90" s="49" t="s">
        <v>876</v>
      </c>
    </row>
    <row r="91">
      <c r="A91" s="48" t="s">
        <v>877</v>
      </c>
      <c r="B91" s="49" t="s">
        <v>878</v>
      </c>
      <c r="C91" s="49" t="s">
        <v>696</v>
      </c>
      <c r="D91" s="49" t="s">
        <v>697</v>
      </c>
    </row>
    <row r="92">
      <c r="A92" s="48" t="s">
        <v>879</v>
      </c>
      <c r="B92" s="49" t="s">
        <v>880</v>
      </c>
      <c r="C92" s="49" t="s">
        <v>674</v>
      </c>
      <c r="D92" s="49" t="s">
        <v>675</v>
      </c>
    </row>
    <row r="93">
      <c r="A93" s="48" t="s">
        <v>881</v>
      </c>
      <c r="B93" s="49" t="s">
        <v>882</v>
      </c>
      <c r="C93" s="49" t="s">
        <v>883</v>
      </c>
      <c r="D93" s="49" t="s">
        <v>884</v>
      </c>
    </row>
    <row r="94">
      <c r="A94" s="48" t="s">
        <v>885</v>
      </c>
      <c r="B94" s="49" t="s">
        <v>886</v>
      </c>
      <c r="C94" s="49" t="s">
        <v>696</v>
      </c>
      <c r="D94" s="49" t="s">
        <v>697</v>
      </c>
    </row>
    <row r="95">
      <c r="A95" s="48" t="s">
        <v>887</v>
      </c>
      <c r="B95" s="49" t="s">
        <v>888</v>
      </c>
      <c r="C95" s="49" t="s">
        <v>659</v>
      </c>
      <c r="D95" s="49" t="s">
        <v>35</v>
      </c>
    </row>
    <row r="96">
      <c r="A96" s="48" t="s">
        <v>889</v>
      </c>
      <c r="B96" s="49" t="s">
        <v>890</v>
      </c>
      <c r="C96" s="49" t="s">
        <v>662</v>
      </c>
      <c r="D96" s="49" t="s">
        <v>663</v>
      </c>
    </row>
    <row r="97">
      <c r="A97" s="48" t="s">
        <v>891</v>
      </c>
      <c r="B97" s="49" t="s">
        <v>892</v>
      </c>
      <c r="C97" s="49" t="s">
        <v>893</v>
      </c>
      <c r="D97" s="49" t="s">
        <v>894</v>
      </c>
    </row>
    <row r="98">
      <c r="A98" s="48" t="s">
        <v>895</v>
      </c>
      <c r="B98" s="49" t="s">
        <v>896</v>
      </c>
      <c r="C98" s="49" t="s">
        <v>659</v>
      </c>
      <c r="D98" s="49" t="s">
        <v>35</v>
      </c>
    </row>
    <row r="99">
      <c r="A99" s="48" t="s">
        <v>897</v>
      </c>
      <c r="B99" s="49" t="s">
        <v>898</v>
      </c>
      <c r="C99" s="49" t="s">
        <v>690</v>
      </c>
      <c r="D99" s="49" t="s">
        <v>691</v>
      </c>
    </row>
    <row r="100">
      <c r="A100" s="48" t="s">
        <v>899</v>
      </c>
      <c r="B100" s="49" t="s">
        <v>900</v>
      </c>
      <c r="C100" s="49" t="s">
        <v>690</v>
      </c>
      <c r="D100" s="49" t="s">
        <v>691</v>
      </c>
    </row>
    <row r="101">
      <c r="A101" s="48" t="s">
        <v>901</v>
      </c>
      <c r="B101" s="49" t="s">
        <v>902</v>
      </c>
      <c r="C101" s="49" t="s">
        <v>680</v>
      </c>
      <c r="D101" s="49" t="s">
        <v>681</v>
      </c>
    </row>
    <row r="102">
      <c r="A102" s="48" t="s">
        <v>903</v>
      </c>
      <c r="B102" s="49" t="s">
        <v>904</v>
      </c>
      <c r="C102" s="49" t="s">
        <v>659</v>
      </c>
      <c r="D102" s="49" t="s">
        <v>35</v>
      </c>
    </row>
    <row r="103">
      <c r="A103" s="48" t="s">
        <v>905</v>
      </c>
      <c r="B103" s="49" t="s">
        <v>906</v>
      </c>
      <c r="C103" s="49" t="s">
        <v>907</v>
      </c>
      <c r="D103" s="49" t="s">
        <v>908</v>
      </c>
    </row>
    <row r="104">
      <c r="A104" s="48" t="s">
        <v>909</v>
      </c>
      <c r="B104" s="49" t="s">
        <v>910</v>
      </c>
      <c r="C104" s="49" t="s">
        <v>790</v>
      </c>
      <c r="D104" s="49" t="s">
        <v>791</v>
      </c>
    </row>
    <row r="105">
      <c r="A105" s="48" t="s">
        <v>911</v>
      </c>
      <c r="B105" s="49" t="s">
        <v>912</v>
      </c>
      <c r="C105" s="49" t="s">
        <v>696</v>
      </c>
      <c r="D105" s="49" t="s">
        <v>697</v>
      </c>
    </row>
    <row r="106">
      <c r="A106" s="48" t="s">
        <v>913</v>
      </c>
      <c r="B106" s="49" t="s">
        <v>914</v>
      </c>
      <c r="C106" s="49" t="s">
        <v>790</v>
      </c>
      <c r="D106" s="49" t="s">
        <v>791</v>
      </c>
    </row>
    <row r="107">
      <c r="A107" s="48" t="s">
        <v>915</v>
      </c>
      <c r="B107" s="49" t="s">
        <v>916</v>
      </c>
      <c r="C107" s="49" t="s">
        <v>696</v>
      </c>
      <c r="D107" s="49" t="s">
        <v>697</v>
      </c>
    </row>
    <row r="108">
      <c r="A108" s="48" t="s">
        <v>917</v>
      </c>
      <c r="B108" s="49" t="s">
        <v>918</v>
      </c>
      <c r="C108" s="49" t="s">
        <v>662</v>
      </c>
      <c r="D108" s="49" t="s">
        <v>663</v>
      </c>
    </row>
    <row r="109">
      <c r="A109" s="48" t="s">
        <v>919</v>
      </c>
      <c r="B109" s="49" t="s">
        <v>920</v>
      </c>
      <c r="C109" s="49" t="s">
        <v>690</v>
      </c>
      <c r="D109" s="49" t="s">
        <v>691</v>
      </c>
    </row>
    <row r="110">
      <c r="A110" s="48" t="s">
        <v>921</v>
      </c>
      <c r="B110" s="49" t="s">
        <v>922</v>
      </c>
      <c r="C110" s="49" t="s">
        <v>659</v>
      </c>
      <c r="D110" s="49" t="s">
        <v>35</v>
      </c>
    </row>
    <row r="111">
      <c r="A111" s="48" t="s">
        <v>923</v>
      </c>
      <c r="B111" s="49" t="s">
        <v>924</v>
      </c>
      <c r="C111" s="49" t="s">
        <v>680</v>
      </c>
      <c r="D111" s="49" t="s">
        <v>681</v>
      </c>
    </row>
    <row r="112">
      <c r="A112" s="48" t="s">
        <v>925</v>
      </c>
      <c r="B112" s="49" t="s">
        <v>926</v>
      </c>
      <c r="C112" s="49" t="s">
        <v>662</v>
      </c>
      <c r="D112" s="49" t="s">
        <v>663</v>
      </c>
    </row>
    <row r="113">
      <c r="A113" s="48" t="s">
        <v>927</v>
      </c>
      <c r="B113" s="49" t="s">
        <v>928</v>
      </c>
      <c r="C113" s="49" t="s">
        <v>659</v>
      </c>
      <c r="D113" s="49" t="s">
        <v>35</v>
      </c>
    </row>
    <row r="114">
      <c r="A114" s="48" t="s">
        <v>929</v>
      </c>
      <c r="B114" s="49" t="s">
        <v>930</v>
      </c>
      <c r="C114" s="49" t="s">
        <v>696</v>
      </c>
      <c r="D114" s="49" t="s">
        <v>697</v>
      </c>
    </row>
    <row r="115">
      <c r="A115" s="48" t="s">
        <v>931</v>
      </c>
      <c r="B115" s="49" t="s">
        <v>932</v>
      </c>
      <c r="C115" s="49" t="s">
        <v>659</v>
      </c>
      <c r="D115" s="49" t="s">
        <v>35</v>
      </c>
    </row>
    <row r="116">
      <c r="A116" s="48" t="s">
        <v>933</v>
      </c>
      <c r="B116" s="49" t="s">
        <v>934</v>
      </c>
      <c r="C116" s="49" t="s">
        <v>722</v>
      </c>
      <c r="D116" s="49" t="s">
        <v>723</v>
      </c>
    </row>
    <row r="117">
      <c r="A117" s="48" t="s">
        <v>935</v>
      </c>
      <c r="B117" s="49" t="s">
        <v>936</v>
      </c>
      <c r="C117" s="49" t="s">
        <v>659</v>
      </c>
      <c r="D117" s="49" t="s">
        <v>35</v>
      </c>
    </row>
    <row r="118">
      <c r="A118" s="48" t="s">
        <v>937</v>
      </c>
      <c r="B118" s="49" t="s">
        <v>938</v>
      </c>
      <c r="C118" s="49" t="s">
        <v>659</v>
      </c>
      <c r="D118" s="49" t="s">
        <v>35</v>
      </c>
    </row>
    <row r="119">
      <c r="A119" s="48" t="s">
        <v>939</v>
      </c>
      <c r="B119" s="49" t="s">
        <v>940</v>
      </c>
      <c r="C119" s="49" t="s">
        <v>659</v>
      </c>
      <c r="D119" s="49" t="s">
        <v>35</v>
      </c>
    </row>
    <row r="120">
      <c r="A120" s="48" t="s">
        <v>941</v>
      </c>
      <c r="B120" s="49" t="s">
        <v>942</v>
      </c>
      <c r="C120" s="49" t="s">
        <v>659</v>
      </c>
      <c r="D120" s="49" t="s">
        <v>35</v>
      </c>
    </row>
    <row r="121">
      <c r="A121" s="48" t="s">
        <v>943</v>
      </c>
      <c r="B121" s="49" t="s">
        <v>944</v>
      </c>
      <c r="C121" s="49" t="s">
        <v>758</v>
      </c>
      <c r="D121" s="49" t="s">
        <v>42</v>
      </c>
    </row>
    <row r="122">
      <c r="A122" s="48" t="s">
        <v>945</v>
      </c>
      <c r="B122" s="49" t="s">
        <v>946</v>
      </c>
      <c r="C122" s="49" t="s">
        <v>690</v>
      </c>
      <c r="D122" s="49" t="s">
        <v>691</v>
      </c>
    </row>
    <row r="123">
      <c r="A123" s="48" t="s">
        <v>947</v>
      </c>
      <c r="B123" s="49" t="s">
        <v>948</v>
      </c>
      <c r="C123" s="49" t="s">
        <v>740</v>
      </c>
      <c r="D123" s="49" t="s">
        <v>741</v>
      </c>
    </row>
    <row r="124">
      <c r="A124" s="48" t="s">
        <v>949</v>
      </c>
      <c r="B124" s="49" t="s">
        <v>950</v>
      </c>
      <c r="C124" s="49" t="s">
        <v>722</v>
      </c>
      <c r="D124" s="49" t="s">
        <v>723</v>
      </c>
    </row>
    <row r="125">
      <c r="A125" s="48" t="s">
        <v>951</v>
      </c>
      <c r="B125" s="49" t="s">
        <v>952</v>
      </c>
      <c r="C125" s="49" t="s">
        <v>758</v>
      </c>
      <c r="D125" s="49" t="s">
        <v>42</v>
      </c>
    </row>
    <row r="126">
      <c r="A126" s="48" t="s">
        <v>953</v>
      </c>
      <c r="B126" s="49" t="s">
        <v>954</v>
      </c>
      <c r="C126" s="49" t="s">
        <v>841</v>
      </c>
      <c r="D126" s="49" t="s">
        <v>842</v>
      </c>
    </row>
    <row r="127">
      <c r="A127" s="48" t="s">
        <v>955</v>
      </c>
      <c r="B127" s="49" t="s">
        <v>956</v>
      </c>
      <c r="C127" s="49" t="s">
        <v>696</v>
      </c>
      <c r="D127" s="49" t="s">
        <v>697</v>
      </c>
    </row>
    <row r="128">
      <c r="A128" s="48" t="s">
        <v>957</v>
      </c>
      <c r="B128" s="49" t="s">
        <v>958</v>
      </c>
      <c r="C128" s="49" t="s">
        <v>859</v>
      </c>
      <c r="D128" s="49" t="s">
        <v>860</v>
      </c>
    </row>
    <row r="129">
      <c r="A129" s="48" t="s">
        <v>959</v>
      </c>
      <c r="B129" s="49" t="s">
        <v>960</v>
      </c>
      <c r="C129" s="49" t="s">
        <v>680</v>
      </c>
      <c r="D129" s="49" t="s">
        <v>681</v>
      </c>
    </row>
    <row r="130">
      <c r="A130" s="48" t="s">
        <v>961</v>
      </c>
      <c r="B130" s="49" t="s">
        <v>962</v>
      </c>
      <c r="C130" s="49" t="s">
        <v>680</v>
      </c>
      <c r="D130" s="49" t="s">
        <v>681</v>
      </c>
    </row>
    <row r="131">
      <c r="A131" s="48" t="s">
        <v>963</v>
      </c>
      <c r="B131" s="49" t="s">
        <v>964</v>
      </c>
      <c r="C131" s="49" t="s">
        <v>758</v>
      </c>
      <c r="D131" s="49" t="s">
        <v>42</v>
      </c>
    </row>
    <row r="132">
      <c r="A132" s="48" t="s">
        <v>965</v>
      </c>
      <c r="B132" s="49" t="s">
        <v>966</v>
      </c>
      <c r="C132" s="49" t="s">
        <v>967</v>
      </c>
      <c r="D132" s="49" t="s">
        <v>968</v>
      </c>
    </row>
    <row r="133">
      <c r="A133" s="48" t="s">
        <v>969</v>
      </c>
      <c r="B133" s="49" t="s">
        <v>970</v>
      </c>
      <c r="C133" s="49" t="s">
        <v>970</v>
      </c>
      <c r="D133" s="49" t="s">
        <v>971</v>
      </c>
    </row>
    <row r="134">
      <c r="A134" s="48" t="s">
        <v>972</v>
      </c>
      <c r="B134" s="49" t="s">
        <v>973</v>
      </c>
      <c r="C134" s="49" t="s">
        <v>659</v>
      </c>
      <c r="D134" s="49" t="s">
        <v>35</v>
      </c>
    </row>
    <row r="135">
      <c r="A135" s="48" t="s">
        <v>974</v>
      </c>
      <c r="B135" s="49" t="s">
        <v>975</v>
      </c>
      <c r="C135" s="49" t="s">
        <v>696</v>
      </c>
      <c r="D135" s="49" t="s">
        <v>697</v>
      </c>
    </row>
    <row r="136">
      <c r="A136" s="48" t="s">
        <v>976</v>
      </c>
      <c r="B136" s="49" t="s">
        <v>977</v>
      </c>
      <c r="C136" s="49" t="s">
        <v>659</v>
      </c>
      <c r="D136" s="49" t="s">
        <v>35</v>
      </c>
    </row>
    <row r="137">
      <c r="A137" s="48" t="s">
        <v>978</v>
      </c>
      <c r="B137" s="49" t="s">
        <v>979</v>
      </c>
      <c r="C137" s="49" t="s">
        <v>659</v>
      </c>
      <c r="D137" s="49" t="s">
        <v>35</v>
      </c>
    </row>
    <row r="138">
      <c r="A138" s="48" t="s">
        <v>980</v>
      </c>
      <c r="B138" s="49" t="s">
        <v>981</v>
      </c>
      <c r="C138" s="49" t="s">
        <v>659</v>
      </c>
      <c r="D138" s="49" t="s">
        <v>35</v>
      </c>
    </row>
    <row r="139">
      <c r="A139" s="48" t="s">
        <v>982</v>
      </c>
      <c r="B139" s="49" t="s">
        <v>983</v>
      </c>
      <c r="C139" s="49" t="s">
        <v>659</v>
      </c>
      <c r="D139" s="49" t="s">
        <v>35</v>
      </c>
    </row>
    <row r="140">
      <c r="A140" s="48" t="s">
        <v>984</v>
      </c>
      <c r="B140" s="49" t="s">
        <v>985</v>
      </c>
      <c r="C140" s="49" t="s">
        <v>662</v>
      </c>
      <c r="D140" s="49" t="s">
        <v>663</v>
      </c>
    </row>
    <row r="141">
      <c r="A141" s="48" t="s">
        <v>986</v>
      </c>
      <c r="B141" s="49" t="s">
        <v>987</v>
      </c>
      <c r="C141" s="49" t="s">
        <v>680</v>
      </c>
      <c r="D141" s="49" t="s">
        <v>681</v>
      </c>
    </row>
    <row r="142">
      <c r="A142" s="48" t="s">
        <v>988</v>
      </c>
      <c r="B142" s="49" t="s">
        <v>989</v>
      </c>
      <c r="C142" s="49" t="s">
        <v>722</v>
      </c>
      <c r="D142" s="49" t="s">
        <v>723</v>
      </c>
    </row>
    <row r="143">
      <c r="A143" s="48" t="s">
        <v>990</v>
      </c>
      <c r="B143" s="49" t="s">
        <v>991</v>
      </c>
      <c r="C143" s="49" t="s">
        <v>690</v>
      </c>
      <c r="D143" s="49" t="s">
        <v>691</v>
      </c>
    </row>
    <row r="144">
      <c r="A144" s="48" t="s">
        <v>992</v>
      </c>
      <c r="B144" s="49" t="s">
        <v>993</v>
      </c>
      <c r="C144" s="49" t="s">
        <v>690</v>
      </c>
      <c r="D144" s="49" t="s">
        <v>691</v>
      </c>
    </row>
    <row r="145">
      <c r="A145" s="48" t="s">
        <v>994</v>
      </c>
      <c r="B145" s="49" t="s">
        <v>995</v>
      </c>
      <c r="C145" s="49" t="s">
        <v>758</v>
      </c>
      <c r="D145" s="49" t="s">
        <v>42</v>
      </c>
    </row>
    <row r="146">
      <c r="A146" s="48" t="s">
        <v>996</v>
      </c>
      <c r="B146" s="49" t="s">
        <v>997</v>
      </c>
      <c r="C146" s="49" t="s">
        <v>758</v>
      </c>
      <c r="D146" s="49" t="s">
        <v>42</v>
      </c>
    </row>
    <row r="147">
      <c r="A147" s="48" t="s">
        <v>998</v>
      </c>
      <c r="B147" s="49" t="s">
        <v>999</v>
      </c>
      <c r="C147" s="49" t="s">
        <v>659</v>
      </c>
      <c r="D147" s="49" t="s">
        <v>35</v>
      </c>
    </row>
    <row r="148">
      <c r="A148" s="48" t="s">
        <v>1000</v>
      </c>
      <c r="B148" s="49" t="s">
        <v>1001</v>
      </c>
      <c r="C148" s="49" t="s">
        <v>659</v>
      </c>
      <c r="D148" s="49" t="s">
        <v>35</v>
      </c>
    </row>
    <row r="149">
      <c r="A149" s="48" t="s">
        <v>1002</v>
      </c>
      <c r="B149" s="49" t="s">
        <v>1003</v>
      </c>
      <c r="C149" s="49" t="s">
        <v>659</v>
      </c>
      <c r="D149" s="49" t="s">
        <v>35</v>
      </c>
    </row>
    <row r="150">
      <c r="A150" s="48" t="s">
        <v>1004</v>
      </c>
      <c r="B150" s="49" t="s">
        <v>1005</v>
      </c>
      <c r="C150" s="49" t="s">
        <v>659</v>
      </c>
      <c r="D150" s="49" t="s">
        <v>35</v>
      </c>
    </row>
    <row r="151">
      <c r="A151" s="48" t="s">
        <v>1006</v>
      </c>
      <c r="B151" s="49" t="s">
        <v>1007</v>
      </c>
      <c r="C151" s="49" t="s">
        <v>841</v>
      </c>
      <c r="D151" s="49" t="s">
        <v>842</v>
      </c>
    </row>
    <row r="152">
      <c r="A152" s="48" t="s">
        <v>1008</v>
      </c>
      <c r="B152" s="49" t="s">
        <v>1009</v>
      </c>
      <c r="C152" s="49" t="s">
        <v>659</v>
      </c>
      <c r="D152" s="49" t="s">
        <v>35</v>
      </c>
    </row>
    <row r="153">
      <c r="A153" s="48" t="s">
        <v>1010</v>
      </c>
      <c r="B153" s="49" t="s">
        <v>1011</v>
      </c>
      <c r="C153" s="49" t="s">
        <v>696</v>
      </c>
      <c r="D153" s="49" t="s">
        <v>697</v>
      </c>
    </row>
    <row r="154">
      <c r="A154" s="48" t="s">
        <v>1012</v>
      </c>
      <c r="B154" s="49" t="s">
        <v>1013</v>
      </c>
      <c r="C154" s="49" t="s">
        <v>659</v>
      </c>
      <c r="D154" s="49" t="s">
        <v>35</v>
      </c>
    </row>
    <row r="155">
      <c r="A155" s="48" t="s">
        <v>1014</v>
      </c>
      <c r="B155" s="49" t="s">
        <v>1015</v>
      </c>
      <c r="C155" s="49" t="s">
        <v>680</v>
      </c>
      <c r="D155" s="49" t="s">
        <v>681</v>
      </c>
    </row>
    <row r="156">
      <c r="A156" s="48" t="s">
        <v>1016</v>
      </c>
      <c r="B156" s="49" t="s">
        <v>1017</v>
      </c>
      <c r="C156" s="49" t="s">
        <v>696</v>
      </c>
      <c r="D156" s="49" t="s">
        <v>697</v>
      </c>
    </row>
    <row r="157">
      <c r="A157" s="48" t="s">
        <v>1018</v>
      </c>
      <c r="B157" s="49" t="s">
        <v>1019</v>
      </c>
      <c r="C157" s="49" t="s">
        <v>758</v>
      </c>
      <c r="D157" s="49" t="s">
        <v>42</v>
      </c>
    </row>
    <row r="158">
      <c r="A158" s="48" t="s">
        <v>1020</v>
      </c>
      <c r="B158" s="49" t="s">
        <v>1021</v>
      </c>
      <c r="C158" s="49" t="s">
        <v>659</v>
      </c>
      <c r="D158" s="49" t="s">
        <v>35</v>
      </c>
    </row>
    <row r="159">
      <c r="A159" s="48" t="s">
        <v>1022</v>
      </c>
      <c r="B159" s="49" t="s">
        <v>1023</v>
      </c>
      <c r="C159" s="49" t="s">
        <v>696</v>
      </c>
      <c r="D159" s="49" t="s">
        <v>697</v>
      </c>
    </row>
    <row r="160">
      <c r="A160" s="48" t="s">
        <v>1024</v>
      </c>
      <c r="B160" s="49" t="s">
        <v>1025</v>
      </c>
      <c r="C160" s="49" t="s">
        <v>690</v>
      </c>
      <c r="D160" s="49" t="s">
        <v>691</v>
      </c>
    </row>
    <row r="161">
      <c r="A161" s="48" t="s">
        <v>1026</v>
      </c>
      <c r="B161" s="49" t="s">
        <v>1027</v>
      </c>
      <c r="C161" s="49" t="s">
        <v>696</v>
      </c>
      <c r="D161" s="49" t="s">
        <v>697</v>
      </c>
    </row>
    <row r="162">
      <c r="A162" s="48" t="s">
        <v>1028</v>
      </c>
      <c r="B162" s="49" t="s">
        <v>1029</v>
      </c>
      <c r="C162" s="49" t="s">
        <v>758</v>
      </c>
      <c r="D162" s="49" t="s">
        <v>42</v>
      </c>
    </row>
    <row r="163">
      <c r="A163" s="48" t="s">
        <v>1030</v>
      </c>
      <c r="B163" s="49" t="s">
        <v>1031</v>
      </c>
      <c r="C163" s="49" t="s">
        <v>758</v>
      </c>
      <c r="D163" s="49" t="s">
        <v>42</v>
      </c>
    </row>
    <row r="164">
      <c r="A164" s="48" t="s">
        <v>1032</v>
      </c>
      <c r="B164" s="49" t="s">
        <v>1033</v>
      </c>
      <c r="C164" s="49" t="s">
        <v>875</v>
      </c>
      <c r="D164" s="49" t="s">
        <v>876</v>
      </c>
    </row>
    <row r="165">
      <c r="A165" s="48" t="s">
        <v>1034</v>
      </c>
      <c r="B165" s="49" t="s">
        <v>1035</v>
      </c>
      <c r="C165" s="49" t="s">
        <v>659</v>
      </c>
      <c r="D165" s="49" t="s">
        <v>35</v>
      </c>
    </row>
    <row r="166">
      <c r="A166" s="48" t="s">
        <v>1036</v>
      </c>
      <c r="B166" s="49" t="s">
        <v>1037</v>
      </c>
      <c r="C166" s="49" t="s">
        <v>722</v>
      </c>
      <c r="D166" s="49" t="s">
        <v>723</v>
      </c>
    </row>
    <row r="167">
      <c r="A167" s="48" t="s">
        <v>1038</v>
      </c>
      <c r="B167" s="49" t="s">
        <v>1039</v>
      </c>
      <c r="C167" s="49" t="s">
        <v>659</v>
      </c>
      <c r="D167" s="49" t="s">
        <v>35</v>
      </c>
    </row>
    <row r="168">
      <c r="A168" s="48" t="s">
        <v>1040</v>
      </c>
      <c r="B168" s="49" t="s">
        <v>1041</v>
      </c>
      <c r="C168" s="49" t="s">
        <v>690</v>
      </c>
      <c r="D168" s="49" t="s">
        <v>691</v>
      </c>
    </row>
    <row r="169">
      <c r="A169" s="48" t="s">
        <v>1042</v>
      </c>
      <c r="B169" s="49" t="s">
        <v>1043</v>
      </c>
      <c r="C169" s="49" t="s">
        <v>659</v>
      </c>
      <c r="D169" s="49" t="s">
        <v>35</v>
      </c>
    </row>
    <row r="170">
      <c r="A170" s="48" t="s">
        <v>1044</v>
      </c>
      <c r="B170" s="49" t="s">
        <v>1045</v>
      </c>
      <c r="C170" s="49" t="s">
        <v>659</v>
      </c>
      <c r="D170" s="49" t="s">
        <v>35</v>
      </c>
    </row>
    <row r="171">
      <c r="A171" s="48" t="s">
        <v>1046</v>
      </c>
      <c r="B171" s="49" t="s">
        <v>1047</v>
      </c>
      <c r="C171" s="49" t="s">
        <v>674</v>
      </c>
      <c r="D171" s="49" t="s">
        <v>675</v>
      </c>
    </row>
    <row r="172">
      <c r="A172" s="48" t="s">
        <v>1048</v>
      </c>
      <c r="B172" s="49" t="s">
        <v>1049</v>
      </c>
      <c r="C172" s="49" t="s">
        <v>674</v>
      </c>
      <c r="D172" s="49" t="s">
        <v>675</v>
      </c>
    </row>
    <row r="173">
      <c r="A173" s="48" t="s">
        <v>1050</v>
      </c>
      <c r="B173" s="49" t="s">
        <v>1051</v>
      </c>
      <c r="C173" s="49" t="s">
        <v>659</v>
      </c>
      <c r="D173" s="49" t="s">
        <v>35</v>
      </c>
    </row>
    <row r="174">
      <c r="A174" s="48" t="s">
        <v>1052</v>
      </c>
      <c r="B174" s="49" t="s">
        <v>1053</v>
      </c>
      <c r="C174" s="49" t="s">
        <v>696</v>
      </c>
      <c r="D174" s="49" t="s">
        <v>697</v>
      </c>
    </row>
    <row r="175">
      <c r="A175" s="48" t="s">
        <v>1054</v>
      </c>
      <c r="B175" s="49" t="s">
        <v>1055</v>
      </c>
      <c r="C175" s="49" t="s">
        <v>790</v>
      </c>
      <c r="D175" s="49" t="s">
        <v>791</v>
      </c>
    </row>
    <row r="176">
      <c r="A176" s="48" t="s">
        <v>1056</v>
      </c>
      <c r="B176" s="49" t="s">
        <v>1057</v>
      </c>
      <c r="C176" s="49" t="s">
        <v>690</v>
      </c>
      <c r="D176" s="49" t="s">
        <v>691</v>
      </c>
    </row>
    <row r="177">
      <c r="A177" s="48" t="s">
        <v>1058</v>
      </c>
      <c r="B177" s="49" t="s">
        <v>1059</v>
      </c>
      <c r="C177" s="49" t="s">
        <v>967</v>
      </c>
      <c r="D177" s="49" t="s">
        <v>968</v>
      </c>
    </row>
    <row r="178">
      <c r="A178" s="48" t="s">
        <v>1060</v>
      </c>
      <c r="B178" s="49" t="s">
        <v>1061</v>
      </c>
      <c r="C178" s="49" t="s">
        <v>659</v>
      </c>
      <c r="D178" s="49" t="s">
        <v>35</v>
      </c>
    </row>
    <row r="179">
      <c r="A179" s="48" t="s">
        <v>1062</v>
      </c>
      <c r="B179" s="49" t="s">
        <v>1063</v>
      </c>
      <c r="C179" s="49" t="s">
        <v>740</v>
      </c>
      <c r="D179" s="49" t="s">
        <v>741</v>
      </c>
    </row>
    <row r="180">
      <c r="A180" s="48" t="s">
        <v>1064</v>
      </c>
      <c r="B180" s="49" t="s">
        <v>1065</v>
      </c>
      <c r="C180" s="49" t="s">
        <v>790</v>
      </c>
      <c r="D180" s="49" t="s">
        <v>791</v>
      </c>
    </row>
    <row r="181">
      <c r="A181" s="48" t="s">
        <v>1066</v>
      </c>
      <c r="B181" s="49" t="s">
        <v>1067</v>
      </c>
      <c r="C181" s="49" t="s">
        <v>1068</v>
      </c>
      <c r="D181" s="49" t="s">
        <v>21</v>
      </c>
    </row>
    <row r="182">
      <c r="A182" s="48" t="s">
        <v>1069</v>
      </c>
      <c r="B182" s="49" t="s">
        <v>1070</v>
      </c>
      <c r="C182" s="49" t="s">
        <v>1071</v>
      </c>
      <c r="D182" s="49" t="s">
        <v>1072</v>
      </c>
    </row>
    <row r="183">
      <c r="A183" s="48" t="s">
        <v>1073</v>
      </c>
      <c r="B183" s="49" t="s">
        <v>1074</v>
      </c>
      <c r="C183" s="49" t="s">
        <v>1075</v>
      </c>
      <c r="D183" s="49" t="s">
        <v>1076</v>
      </c>
    </row>
    <row r="184">
      <c r="A184" s="48" t="s">
        <v>1077</v>
      </c>
      <c r="B184" s="49" t="s">
        <v>1078</v>
      </c>
      <c r="C184" s="49" t="s">
        <v>859</v>
      </c>
      <c r="D184" s="49" t="s">
        <v>860</v>
      </c>
    </row>
    <row r="185">
      <c r="A185" s="48" t="s">
        <v>1079</v>
      </c>
      <c r="B185" s="49" t="s">
        <v>1080</v>
      </c>
      <c r="C185" s="49" t="s">
        <v>659</v>
      </c>
      <c r="D185" s="49" t="s">
        <v>35</v>
      </c>
    </row>
    <row r="186">
      <c r="A186" s="48" t="s">
        <v>1081</v>
      </c>
      <c r="B186" s="49" t="s">
        <v>1082</v>
      </c>
      <c r="C186" s="49" t="s">
        <v>659</v>
      </c>
      <c r="D186" s="49" t="s">
        <v>35</v>
      </c>
    </row>
    <row r="187">
      <c r="A187" s="48" t="s">
        <v>1083</v>
      </c>
      <c r="B187" s="49" t="s">
        <v>1084</v>
      </c>
      <c r="C187" s="49" t="s">
        <v>659</v>
      </c>
      <c r="D187" s="49" t="s">
        <v>35</v>
      </c>
    </row>
    <row r="188">
      <c r="A188" s="48" t="s">
        <v>1085</v>
      </c>
      <c r="B188" s="49" t="s">
        <v>1086</v>
      </c>
      <c r="C188" s="49" t="s">
        <v>696</v>
      </c>
      <c r="D188" s="49" t="s">
        <v>697</v>
      </c>
    </row>
    <row r="189">
      <c r="A189" s="48" t="s">
        <v>1087</v>
      </c>
      <c r="B189" s="49" t="s">
        <v>1088</v>
      </c>
      <c r="C189" s="49" t="s">
        <v>662</v>
      </c>
      <c r="D189" s="49" t="s">
        <v>663</v>
      </c>
    </row>
    <row r="190">
      <c r="A190" s="48" t="s">
        <v>1089</v>
      </c>
      <c r="B190" s="49" t="s">
        <v>1090</v>
      </c>
      <c r="C190" s="49" t="s">
        <v>1071</v>
      </c>
      <c r="D190" s="49" t="s">
        <v>1072</v>
      </c>
    </row>
    <row r="191">
      <c r="A191" s="48" t="s">
        <v>1091</v>
      </c>
      <c r="B191" s="49" t="s">
        <v>1092</v>
      </c>
      <c r="C191" s="49" t="s">
        <v>1092</v>
      </c>
      <c r="D191" s="49" t="s">
        <v>1093</v>
      </c>
    </row>
    <row r="192">
      <c r="A192" s="48" t="s">
        <v>1094</v>
      </c>
      <c r="B192" s="49" t="s">
        <v>1095</v>
      </c>
      <c r="C192" s="49" t="s">
        <v>659</v>
      </c>
      <c r="D192" s="49" t="s">
        <v>35</v>
      </c>
    </row>
    <row r="193">
      <c r="A193" s="48" t="s">
        <v>1096</v>
      </c>
      <c r="B193" s="49" t="s">
        <v>1097</v>
      </c>
      <c r="C193" s="49" t="s">
        <v>659</v>
      </c>
      <c r="D193" s="49" t="s">
        <v>35</v>
      </c>
    </row>
    <row r="194">
      <c r="A194" s="48" t="s">
        <v>1098</v>
      </c>
      <c r="B194" s="49" t="s">
        <v>1099</v>
      </c>
      <c r="C194" s="49" t="s">
        <v>659</v>
      </c>
      <c r="D194" s="49" t="s">
        <v>35</v>
      </c>
    </row>
    <row r="195">
      <c r="A195" s="48" t="s">
        <v>1100</v>
      </c>
      <c r="B195" s="49" t="s">
        <v>1101</v>
      </c>
      <c r="C195" s="49" t="s">
        <v>790</v>
      </c>
      <c r="D195" s="49" t="s">
        <v>791</v>
      </c>
    </row>
    <row r="196">
      <c r="A196" s="48" t="s">
        <v>1102</v>
      </c>
      <c r="B196" s="49" t="s">
        <v>1103</v>
      </c>
      <c r="C196" s="49" t="s">
        <v>1104</v>
      </c>
      <c r="D196" s="49" t="s">
        <v>1105</v>
      </c>
    </row>
    <row r="197">
      <c r="A197" s="48" t="s">
        <v>1106</v>
      </c>
      <c r="B197" s="49" t="s">
        <v>1107</v>
      </c>
      <c r="C197" s="49" t="s">
        <v>722</v>
      </c>
      <c r="D197" s="49" t="s">
        <v>723</v>
      </c>
    </row>
    <row r="198">
      <c r="A198" s="48" t="s">
        <v>1108</v>
      </c>
      <c r="B198" s="49" t="s">
        <v>1109</v>
      </c>
      <c r="C198" s="49" t="s">
        <v>680</v>
      </c>
      <c r="D198" s="49" t="s">
        <v>681</v>
      </c>
    </row>
    <row r="199">
      <c r="A199" s="48" t="s">
        <v>1110</v>
      </c>
      <c r="B199" s="49" t="s">
        <v>1111</v>
      </c>
      <c r="C199" s="49" t="s">
        <v>659</v>
      </c>
      <c r="D199" s="49" t="s">
        <v>35</v>
      </c>
    </row>
    <row r="200">
      <c r="A200" s="48" t="s">
        <v>1112</v>
      </c>
      <c r="B200" s="49" t="s">
        <v>1011</v>
      </c>
      <c r="C200" s="49" t="s">
        <v>696</v>
      </c>
      <c r="D200" s="49" t="s">
        <v>697</v>
      </c>
    </row>
    <row r="201">
      <c r="A201" s="48" t="s">
        <v>1113</v>
      </c>
      <c r="B201" s="49" t="s">
        <v>1114</v>
      </c>
      <c r="C201" s="49" t="s">
        <v>674</v>
      </c>
      <c r="D201" s="49" t="s">
        <v>675</v>
      </c>
    </row>
    <row r="202">
      <c r="A202" s="48" t="s">
        <v>1115</v>
      </c>
      <c r="B202" s="49" t="s">
        <v>1116</v>
      </c>
      <c r="C202" s="49" t="s">
        <v>696</v>
      </c>
      <c r="D202" s="49" t="s">
        <v>697</v>
      </c>
    </row>
    <row r="203">
      <c r="A203" s="48" t="s">
        <v>1117</v>
      </c>
      <c r="B203" s="49" t="s">
        <v>1118</v>
      </c>
      <c r="C203" s="49" t="s">
        <v>696</v>
      </c>
      <c r="D203" s="49" t="s">
        <v>697</v>
      </c>
    </row>
    <row r="204">
      <c r="A204" s="48" t="s">
        <v>1119</v>
      </c>
      <c r="B204" s="49" t="s">
        <v>1120</v>
      </c>
      <c r="C204" s="49" t="s">
        <v>696</v>
      </c>
      <c r="D204" s="49" t="s">
        <v>697</v>
      </c>
    </row>
    <row r="205">
      <c r="A205" s="48" t="s">
        <v>1121</v>
      </c>
      <c r="B205" s="49" t="s">
        <v>1122</v>
      </c>
      <c r="C205" s="49" t="s">
        <v>758</v>
      </c>
      <c r="D205" s="49" t="s">
        <v>42</v>
      </c>
    </row>
    <row r="206">
      <c r="A206" s="48" t="s">
        <v>1123</v>
      </c>
      <c r="B206" s="49" t="s">
        <v>1124</v>
      </c>
      <c r="C206" s="49" t="s">
        <v>758</v>
      </c>
      <c r="D206" s="49" t="s">
        <v>42</v>
      </c>
    </row>
    <row r="207">
      <c r="A207" s="48" t="s">
        <v>1125</v>
      </c>
      <c r="B207" s="49" t="s">
        <v>1126</v>
      </c>
      <c r="C207" s="49" t="s">
        <v>722</v>
      </c>
      <c r="D207" s="49" t="s">
        <v>723</v>
      </c>
    </row>
    <row r="208">
      <c r="A208" s="48" t="s">
        <v>1127</v>
      </c>
      <c r="B208" s="49" t="s">
        <v>1128</v>
      </c>
      <c r="C208" s="49" t="s">
        <v>722</v>
      </c>
      <c r="D208" s="49" t="s">
        <v>723</v>
      </c>
    </row>
    <row r="209">
      <c r="A209" s="48" t="s">
        <v>1129</v>
      </c>
      <c r="B209" s="49" t="s">
        <v>1130</v>
      </c>
      <c r="C209" s="49" t="s">
        <v>758</v>
      </c>
      <c r="D209" s="49" t="s">
        <v>42</v>
      </c>
    </row>
    <row r="210">
      <c r="A210" s="48" t="s">
        <v>1131</v>
      </c>
      <c r="B210" s="49" t="s">
        <v>1132</v>
      </c>
      <c r="C210" s="49" t="s">
        <v>690</v>
      </c>
      <c r="D210" s="49" t="s">
        <v>691</v>
      </c>
    </row>
    <row r="211">
      <c r="A211" s="48" t="s">
        <v>1133</v>
      </c>
      <c r="B211" s="49" t="s">
        <v>1134</v>
      </c>
      <c r="C211" s="49" t="s">
        <v>659</v>
      </c>
      <c r="D211" s="49" t="s">
        <v>35</v>
      </c>
    </row>
    <row r="212">
      <c r="A212" s="48" t="s">
        <v>1135</v>
      </c>
      <c r="B212" s="49" t="s">
        <v>1136</v>
      </c>
      <c r="C212" s="49" t="s">
        <v>659</v>
      </c>
      <c r="D212" s="49" t="s">
        <v>35</v>
      </c>
    </row>
    <row r="213">
      <c r="A213" s="48" t="s">
        <v>1137</v>
      </c>
      <c r="B213" s="49" t="s">
        <v>1138</v>
      </c>
      <c r="C213" s="49" t="s">
        <v>662</v>
      </c>
      <c r="D213" s="49" t="s">
        <v>663</v>
      </c>
    </row>
    <row r="214">
      <c r="A214" s="48" t="s">
        <v>1139</v>
      </c>
      <c r="B214" s="49" t="s">
        <v>1140</v>
      </c>
      <c r="C214" s="49" t="s">
        <v>659</v>
      </c>
      <c r="D214" s="49" t="s">
        <v>35</v>
      </c>
    </row>
    <row r="215">
      <c r="A215" s="48" t="s">
        <v>1141</v>
      </c>
      <c r="B215" s="49" t="s">
        <v>1142</v>
      </c>
      <c r="C215" s="49" t="s">
        <v>659</v>
      </c>
      <c r="D215" s="49" t="s">
        <v>35</v>
      </c>
    </row>
    <row r="216">
      <c r="A216" s="48" t="s">
        <v>1143</v>
      </c>
      <c r="B216" s="49" t="s">
        <v>1144</v>
      </c>
      <c r="C216" s="49" t="s">
        <v>758</v>
      </c>
      <c r="D216" s="49" t="s">
        <v>42</v>
      </c>
    </row>
    <row r="217">
      <c r="A217" s="48" t="s">
        <v>1145</v>
      </c>
      <c r="B217" s="49" t="s">
        <v>1057</v>
      </c>
      <c r="C217" s="49" t="s">
        <v>690</v>
      </c>
      <c r="D217" s="49" t="s">
        <v>691</v>
      </c>
    </row>
    <row r="218">
      <c r="A218" s="48" t="s">
        <v>1146</v>
      </c>
      <c r="B218" s="49" t="s">
        <v>1147</v>
      </c>
      <c r="C218" s="49" t="s">
        <v>659</v>
      </c>
      <c r="D218" s="49" t="s">
        <v>35</v>
      </c>
    </row>
    <row r="219">
      <c r="A219" s="48" t="s">
        <v>1148</v>
      </c>
      <c r="B219" s="49" t="s">
        <v>1149</v>
      </c>
      <c r="C219" s="49" t="s">
        <v>1150</v>
      </c>
      <c r="D219" s="49" t="s">
        <v>1151</v>
      </c>
    </row>
    <row r="220">
      <c r="A220" s="48" t="s">
        <v>1152</v>
      </c>
      <c r="B220" s="49" t="s">
        <v>1153</v>
      </c>
      <c r="C220" s="49" t="s">
        <v>680</v>
      </c>
      <c r="D220" s="49" t="s">
        <v>681</v>
      </c>
    </row>
    <row r="221">
      <c r="A221" s="48" t="s">
        <v>1154</v>
      </c>
      <c r="B221" s="49" t="s">
        <v>1155</v>
      </c>
      <c r="C221" s="49" t="s">
        <v>674</v>
      </c>
      <c r="D221" s="49" t="s">
        <v>675</v>
      </c>
    </row>
    <row r="222">
      <c r="A222" s="48" t="s">
        <v>1156</v>
      </c>
      <c r="B222" s="49" t="s">
        <v>1157</v>
      </c>
      <c r="C222" s="49" t="s">
        <v>659</v>
      </c>
      <c r="D222" s="49" t="s">
        <v>35</v>
      </c>
    </row>
    <row r="223">
      <c r="A223" s="48" t="s">
        <v>1158</v>
      </c>
      <c r="B223" s="49" t="s">
        <v>1159</v>
      </c>
      <c r="C223" s="49" t="s">
        <v>680</v>
      </c>
      <c r="D223" s="49" t="s">
        <v>681</v>
      </c>
    </row>
    <row r="224">
      <c r="A224" s="48" t="s">
        <v>1160</v>
      </c>
      <c r="B224" s="49" t="s">
        <v>1161</v>
      </c>
      <c r="C224" s="49" t="s">
        <v>1075</v>
      </c>
      <c r="D224" s="49" t="s">
        <v>1076</v>
      </c>
    </row>
    <row r="225">
      <c r="A225" s="48" t="s">
        <v>1162</v>
      </c>
      <c r="B225" s="49" t="s">
        <v>1163</v>
      </c>
      <c r="C225" s="49" t="s">
        <v>865</v>
      </c>
      <c r="D225" s="49" t="s">
        <v>866</v>
      </c>
    </row>
    <row r="226">
      <c r="A226" s="48" t="s">
        <v>1164</v>
      </c>
      <c r="B226" s="49" t="s">
        <v>1165</v>
      </c>
      <c r="C226" s="49" t="s">
        <v>662</v>
      </c>
      <c r="D226" s="49" t="s">
        <v>663</v>
      </c>
    </row>
    <row r="227">
      <c r="A227" s="48" t="s">
        <v>1166</v>
      </c>
      <c r="B227" s="49" t="s">
        <v>1167</v>
      </c>
      <c r="C227" s="49" t="s">
        <v>659</v>
      </c>
      <c r="D227" s="49" t="s">
        <v>35</v>
      </c>
    </row>
    <row r="228">
      <c r="A228" s="48" t="s">
        <v>1168</v>
      </c>
      <c r="B228" s="49" t="s">
        <v>1169</v>
      </c>
      <c r="C228" s="49" t="s">
        <v>659</v>
      </c>
      <c r="D228" s="49" t="s">
        <v>35</v>
      </c>
    </row>
    <row r="229">
      <c r="A229" s="48" t="s">
        <v>905</v>
      </c>
      <c r="B229" s="49" t="s">
        <v>906</v>
      </c>
      <c r="C229" s="49" t="s">
        <v>907</v>
      </c>
      <c r="D229" s="49" t="s">
        <v>908</v>
      </c>
    </row>
    <row r="230">
      <c r="A230" s="48" t="s">
        <v>1170</v>
      </c>
      <c r="B230" s="49" t="s">
        <v>1116</v>
      </c>
      <c r="C230" s="49" t="s">
        <v>696</v>
      </c>
      <c r="D230" s="49" t="s">
        <v>697</v>
      </c>
    </row>
    <row r="231">
      <c r="A231" s="48" t="s">
        <v>1171</v>
      </c>
      <c r="B231" s="49" t="s">
        <v>1172</v>
      </c>
      <c r="C231" s="49" t="s">
        <v>659</v>
      </c>
      <c r="D231" s="49" t="s">
        <v>35</v>
      </c>
    </row>
    <row r="232">
      <c r="A232" s="48" t="s">
        <v>1173</v>
      </c>
      <c r="B232" s="49" t="s">
        <v>1174</v>
      </c>
      <c r="C232" s="49" t="s">
        <v>659</v>
      </c>
      <c r="D232" s="49" t="s">
        <v>35</v>
      </c>
    </row>
    <row r="233">
      <c r="A233" s="48" t="s">
        <v>1175</v>
      </c>
      <c r="B233" s="49" t="s">
        <v>1176</v>
      </c>
      <c r="C233" s="49" t="s">
        <v>1177</v>
      </c>
      <c r="D233" s="49" t="s">
        <v>1178</v>
      </c>
    </row>
    <row r="234">
      <c r="A234" s="48" t="s">
        <v>1179</v>
      </c>
      <c r="B234" s="49" t="s">
        <v>1180</v>
      </c>
      <c r="C234" s="49" t="s">
        <v>722</v>
      </c>
      <c r="D234" s="49" t="s">
        <v>723</v>
      </c>
    </row>
    <row r="235">
      <c r="A235" s="48" t="s">
        <v>1181</v>
      </c>
      <c r="B235" s="49" t="s">
        <v>1182</v>
      </c>
      <c r="C235" s="49" t="s">
        <v>659</v>
      </c>
      <c r="D235" s="49" t="s">
        <v>35</v>
      </c>
    </row>
    <row r="236">
      <c r="A236" s="48" t="s">
        <v>1183</v>
      </c>
      <c r="B236" s="49" t="s">
        <v>1184</v>
      </c>
      <c r="C236" s="49" t="s">
        <v>758</v>
      </c>
      <c r="D236" s="49" t="s">
        <v>42</v>
      </c>
    </row>
    <row r="237">
      <c r="A237" s="48" t="s">
        <v>1185</v>
      </c>
      <c r="B237" s="49" t="s">
        <v>1186</v>
      </c>
      <c r="C237" s="49" t="s">
        <v>758</v>
      </c>
      <c r="D237" s="49" t="s">
        <v>42</v>
      </c>
    </row>
    <row r="238">
      <c r="A238" s="48" t="s">
        <v>1187</v>
      </c>
      <c r="B238" s="49" t="s">
        <v>1188</v>
      </c>
      <c r="C238" s="49" t="s">
        <v>970</v>
      </c>
      <c r="D238" s="49" t="s">
        <v>971</v>
      </c>
    </row>
    <row r="239">
      <c r="A239" s="48" t="s">
        <v>788</v>
      </c>
      <c r="B239" s="49" t="s">
        <v>1189</v>
      </c>
      <c r="C239" s="49" t="s">
        <v>674</v>
      </c>
      <c r="D239" s="49" t="s">
        <v>675</v>
      </c>
    </row>
    <row r="240">
      <c r="A240" s="48" t="s">
        <v>1190</v>
      </c>
      <c r="B240" s="49" t="s">
        <v>1191</v>
      </c>
      <c r="C240" s="49" t="s">
        <v>674</v>
      </c>
      <c r="D240" s="49" t="s">
        <v>675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653</v>
      </c>
      <c r="B1" s="48" t="s">
        <v>1192</v>
      </c>
      <c r="C1" s="48" t="s">
        <v>1193</v>
      </c>
    </row>
    <row r="2">
      <c r="A2" s="49" t="s">
        <v>19</v>
      </c>
      <c r="B2" s="49" t="s">
        <v>1194</v>
      </c>
      <c r="C2" s="49" t="s">
        <v>1195</v>
      </c>
    </row>
    <row r="3">
      <c r="A3" s="49" t="s">
        <v>35</v>
      </c>
      <c r="B3" s="49" t="s">
        <v>1196</v>
      </c>
      <c r="C3" s="49" t="s">
        <v>1195</v>
      </c>
    </row>
    <row r="4">
      <c r="A4" s="49" t="s">
        <v>37</v>
      </c>
      <c r="B4" s="49" t="s">
        <v>1197</v>
      </c>
      <c r="C4" s="49" t="s">
        <v>1195</v>
      </c>
    </row>
    <row r="5">
      <c r="A5" s="49" t="s">
        <v>63</v>
      </c>
      <c r="B5" s="49" t="s">
        <v>1198</v>
      </c>
      <c r="C5" s="49" t="s">
        <v>1195</v>
      </c>
    </row>
    <row r="6">
      <c r="A6" s="49" t="s">
        <v>161</v>
      </c>
      <c r="B6" s="49" t="s">
        <v>1199</v>
      </c>
      <c r="C6" s="49" t="s">
        <v>1195</v>
      </c>
    </row>
    <row r="7">
      <c r="A7" s="49" t="s">
        <v>12</v>
      </c>
      <c r="B7" s="49" t="s">
        <v>1200</v>
      </c>
      <c r="C7" s="49" t="s">
        <v>1201</v>
      </c>
    </row>
    <row r="8">
      <c r="A8" s="49" t="s">
        <v>136</v>
      </c>
      <c r="B8" s="49" t="s">
        <v>1202</v>
      </c>
      <c r="C8" s="49" t="s">
        <v>1201</v>
      </c>
    </row>
    <row r="9">
      <c r="A9" s="49" t="s">
        <v>340</v>
      </c>
      <c r="B9" s="49" t="s">
        <v>1203</v>
      </c>
      <c r="C9" s="49" t="s">
        <v>1201</v>
      </c>
    </row>
    <row r="10">
      <c r="A10" s="49" t="s">
        <v>421</v>
      </c>
      <c r="B10" s="49" t="s">
        <v>1204</v>
      </c>
      <c r="C10" s="49" t="s">
        <v>1201</v>
      </c>
    </row>
    <row r="11">
      <c r="A11" s="49" t="s">
        <v>33</v>
      </c>
      <c r="B11" s="49" t="s">
        <v>1205</v>
      </c>
      <c r="C11" s="49" t="s">
        <v>1206</v>
      </c>
    </row>
    <row r="12">
      <c r="A12" s="49" t="s">
        <v>31</v>
      </c>
      <c r="B12" s="49" t="s">
        <v>1207</v>
      </c>
      <c r="C12" s="49" t="s">
        <v>1206</v>
      </c>
    </row>
    <row r="13">
      <c r="A13" s="49" t="s">
        <v>42</v>
      </c>
      <c r="B13" s="49" t="s">
        <v>1208</v>
      </c>
      <c r="C13" s="49" t="s">
        <v>1209</v>
      </c>
    </row>
    <row r="14">
      <c r="A14" s="49" t="s">
        <v>61</v>
      </c>
      <c r="B14" s="49" t="s">
        <v>1210</v>
      </c>
      <c r="C14" s="49" t="s">
        <v>1211</v>
      </c>
    </row>
    <row r="15">
      <c r="A15" s="49" t="s">
        <v>116</v>
      </c>
      <c r="B15" s="49" t="s">
        <v>1212</v>
      </c>
      <c r="C15" s="49" t="s">
        <v>1213</v>
      </c>
    </row>
    <row r="16">
      <c r="A16" s="49" t="s">
        <v>26</v>
      </c>
      <c r="B16" s="49" t="s">
        <v>1214</v>
      </c>
      <c r="C16" s="49" t="s">
        <v>1213</v>
      </c>
    </row>
    <row r="17">
      <c r="A17" s="49" t="s">
        <v>21</v>
      </c>
      <c r="B17" s="49" t="s">
        <v>1215</v>
      </c>
      <c r="C17" s="49" t="s">
        <v>1216</v>
      </c>
    </row>
    <row r="18">
      <c r="A18" s="49" t="s">
        <v>100</v>
      </c>
      <c r="B18" s="49" t="s">
        <v>1217</v>
      </c>
      <c r="C18" s="49" t="s">
        <v>1218</v>
      </c>
    </row>
    <row r="19">
      <c r="A19" s="49" t="s">
        <v>268</v>
      </c>
      <c r="B19" s="49" t="s">
        <v>1219</v>
      </c>
      <c r="C19" s="49" t="s">
        <v>1220</v>
      </c>
    </row>
    <row r="20">
      <c r="A20" s="49" t="s">
        <v>16</v>
      </c>
      <c r="B20" s="49" t="s">
        <v>1221</v>
      </c>
      <c r="C20" s="49" t="s">
        <v>1222</v>
      </c>
    </row>
    <row r="21">
      <c r="A21" s="49" t="s">
        <v>1223</v>
      </c>
      <c r="B21" s="49" t="s">
        <v>1224</v>
      </c>
      <c r="C21" s="49" t="s">
        <v>1225</v>
      </c>
    </row>
    <row r="22">
      <c r="A22" s="49" t="s">
        <v>232</v>
      </c>
      <c r="B22" s="49" t="s">
        <v>1226</v>
      </c>
      <c r="C22" s="49" t="s">
        <v>1227</v>
      </c>
    </row>
    <row r="23">
      <c r="A23" s="49" t="s">
        <v>468</v>
      </c>
      <c r="B23" s="49" t="s">
        <v>1228</v>
      </c>
      <c r="C23" s="49" t="s">
        <v>1229</v>
      </c>
    </row>
    <row r="24">
      <c r="A24" s="49" t="s">
        <v>112</v>
      </c>
      <c r="B24" s="49" t="s">
        <v>1230</v>
      </c>
      <c r="C24" s="49" t="s">
        <v>1231</v>
      </c>
    </row>
    <row r="25">
      <c r="A25" s="49" t="s">
        <v>78</v>
      </c>
      <c r="B25" s="49" t="s">
        <v>1232</v>
      </c>
      <c r="C25" s="49" t="s">
        <v>1233</v>
      </c>
    </row>
    <row r="26">
      <c r="A26" s="49" t="s">
        <v>49</v>
      </c>
      <c r="B26" s="49" t="s">
        <v>1234</v>
      </c>
      <c r="C26" s="49" t="s">
        <v>1201</v>
      </c>
    </row>
    <row r="27">
      <c r="A27" s="49" t="s">
        <v>1235</v>
      </c>
      <c r="B27" s="49" t="s">
        <v>1236</v>
      </c>
      <c r="C27" s="49" t="s">
        <v>1237</v>
      </c>
    </row>
    <row r="28">
      <c r="A28" s="49" t="s">
        <v>579</v>
      </c>
      <c r="B28" s="49" t="s">
        <v>1238</v>
      </c>
      <c r="C28" s="49" t="s">
        <v>1201</v>
      </c>
    </row>
    <row r="29">
      <c r="A29" s="49" t="s">
        <v>1239</v>
      </c>
      <c r="B29" s="49" t="s">
        <v>1240</v>
      </c>
      <c r="C29" s="49" t="s">
        <v>1241</v>
      </c>
    </row>
    <row r="30">
      <c r="A30" s="49" t="s">
        <v>1242</v>
      </c>
      <c r="B30" s="49" t="s">
        <v>1243</v>
      </c>
      <c r="C30" s="49" t="s">
        <v>1244</v>
      </c>
    </row>
    <row r="31">
      <c r="A31" s="49" t="s">
        <v>1245</v>
      </c>
      <c r="B31" s="49" t="s">
        <v>1246</v>
      </c>
      <c r="C31" s="49" t="s">
        <v>1247</v>
      </c>
    </row>
    <row r="32">
      <c r="A32" s="49" t="s">
        <v>1248</v>
      </c>
      <c r="B32" s="49" t="s">
        <v>1249</v>
      </c>
      <c r="C32" s="49" t="s">
        <v>1247</v>
      </c>
    </row>
    <row r="33">
      <c r="A33" s="49" t="s">
        <v>1250</v>
      </c>
      <c r="B33" s="49" t="s">
        <v>1251</v>
      </c>
      <c r="C33" s="49" t="s">
        <v>1252</v>
      </c>
    </row>
    <row r="34">
      <c r="A34" s="49" t="s">
        <v>1253</v>
      </c>
      <c r="B34" s="49" t="s">
        <v>1254</v>
      </c>
      <c r="C34" s="49" t="s">
        <v>1229</v>
      </c>
    </row>
    <row r="35">
      <c r="A35" s="49" t="s">
        <v>1255</v>
      </c>
      <c r="B35" s="49" t="s">
        <v>1256</v>
      </c>
      <c r="C35" s="49" t="s">
        <v>1237</v>
      </c>
    </row>
    <row r="36">
      <c r="A36" s="49" t="s">
        <v>1257</v>
      </c>
      <c r="B36" s="49" t="s">
        <v>1258</v>
      </c>
      <c r="C36" s="49" t="s">
        <v>1195</v>
      </c>
    </row>
    <row r="37">
      <c r="A37" s="49" t="s">
        <v>1259</v>
      </c>
      <c r="B37" s="49" t="s">
        <v>1260</v>
      </c>
      <c r="C37" s="49" t="s">
        <v>1261</v>
      </c>
    </row>
    <row r="38">
      <c r="A38" s="49" t="s">
        <v>1262</v>
      </c>
      <c r="B38" s="49" t="s">
        <v>1263</v>
      </c>
      <c r="C38" s="49" t="s">
        <v>1264</v>
      </c>
    </row>
    <row r="39">
      <c r="A39" s="49" t="s">
        <v>1265</v>
      </c>
      <c r="B39" s="49" t="s">
        <v>1266</v>
      </c>
      <c r="C39" s="49" t="s">
        <v>1267</v>
      </c>
    </row>
    <row r="40">
      <c r="A40" s="49" t="s">
        <v>1268</v>
      </c>
      <c r="B40" s="49" t="s">
        <v>1269</v>
      </c>
      <c r="C40" s="49" t="s">
        <v>1270</v>
      </c>
    </row>
    <row r="41">
      <c r="A41" s="49" t="s">
        <v>1271</v>
      </c>
      <c r="B41" s="49" t="s">
        <v>1272</v>
      </c>
      <c r="C41" s="49" t="s">
        <v>1273</v>
      </c>
    </row>
    <row r="42">
      <c r="A42" s="49" t="s">
        <v>1274</v>
      </c>
      <c r="B42" s="49" t="s">
        <v>1275</v>
      </c>
      <c r="C42" s="49" t="s">
        <v>1276</v>
      </c>
    </row>
  </sheetData>
  <drawing r:id="rId1"/>
</worksheet>
</file>